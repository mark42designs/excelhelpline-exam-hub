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esktop\Excel Helpline Class\2 MS Excel Modules\For Website (improved module)\"/>
    </mc:Choice>
  </mc:AlternateContent>
  <xr:revisionPtr revIDLastSave="0" documentId="13_ncr:1_{301210A6-A8BB-417F-944E-B22EFFC1580A}" xr6:coauthVersionLast="47" xr6:coauthVersionMax="47" xr10:uidLastSave="{00000000-0000-0000-0000-000000000000}"/>
  <bookViews>
    <workbookView xWindow="-120" yWindow="-120" windowWidth="29040" windowHeight="15720" tabRatio="874" firstSheet="3" activeTab="8" xr2:uid="{00000000-000D-0000-FFFF-FFFF00000000}"/>
  </bookViews>
  <sheets>
    <sheet name="Class" sheetId="19" state="hidden" r:id="rId1"/>
    <sheet name="Advanced Formula Tasks" sheetId="1" r:id="rId2"/>
    <sheet name="Branch 1" sheetId="5" r:id="rId3"/>
    <sheet name="Branch 2" sheetId="6" r:id="rId4"/>
    <sheet name="Branch 3" sheetId="7" r:id="rId5"/>
    <sheet name="Named ranges" sheetId="9" r:id="rId6"/>
    <sheet name="Advanced Formatting" sheetId="3" r:id="rId7"/>
    <sheet name="Working with Images " sheetId="18" r:id="rId8"/>
    <sheet name="Data Tools" sheetId="14" r:id="rId9"/>
    <sheet name="Visualizing your data" sheetId="4" r:id="rId10"/>
    <sheet name="Advanced Functions" sheetId="16" r:id="rId11"/>
  </sheets>
  <definedNames>
    <definedName name="_xlnm._FilterDatabase" localSheetId="6" hidden="1">'Advanced Formatting'!$C$1:$E$31</definedName>
    <definedName name="Sales">'Named ranges'!$E$2:$E$127</definedName>
    <definedName name="SalesRep">'Named ranges'!$D$2:$D$127</definedName>
    <definedName name="Table1">Table14[[#Headers],[#Data],[Name]:[Salary]]</definedName>
    <definedName name="Table2">Table14[[#Headers],[#Data],[Name]:[Salary]]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8" i="9" l="1"/>
  <c r="D128" i="9"/>
  <c r="AR6" i="16"/>
  <c r="AR13" i="16" a="1"/>
  <c r="AR13" i="16" s="1"/>
  <c r="AU11" i="16" a="1"/>
  <c r="AU11" i="16" s="1"/>
  <c r="AT11" i="16" a="1"/>
  <c r="AT11" i="16" s="1"/>
  <c r="AS11" i="16" a="1"/>
  <c r="AS11" i="16" s="1"/>
  <c r="AR11" i="16" a="1"/>
  <c r="AR11" i="16" s="1"/>
  <c r="AR7" i="16"/>
  <c r="AU5" i="16"/>
  <c r="AT5" i="16"/>
  <c r="AS5" i="16"/>
  <c r="AR5" i="16"/>
  <c r="AR4" i="16"/>
  <c r="AU4" i="16"/>
  <c r="AT4" i="16"/>
  <c r="AS4" i="16"/>
  <c r="AA4" i="16"/>
  <c r="AA5" i="16"/>
  <c r="AA6" i="16"/>
  <c r="AA7" i="16"/>
  <c r="AA8" i="16"/>
  <c r="AA9" i="16"/>
  <c r="AA10" i="16"/>
  <c r="AA11" i="16"/>
  <c r="AA12" i="16"/>
  <c r="AA13" i="16"/>
  <c r="AA14" i="16"/>
  <c r="AA15" i="16"/>
  <c r="AA16" i="16"/>
  <c r="AA17" i="16"/>
  <c r="P5" i="16"/>
  <c r="P4" i="16"/>
  <c r="M50" i="14"/>
  <c r="M49" i="14"/>
  <c r="J14" i="1"/>
  <c r="J17" i="1"/>
  <c r="J16" i="1"/>
  <c r="J15" i="1"/>
  <c r="U5" i="16" l="1"/>
  <c r="U6" i="16"/>
  <c r="U7" i="16"/>
  <c r="U8" i="16"/>
  <c r="U9" i="16"/>
  <c r="U10" i="16"/>
  <c r="U11" i="16"/>
  <c r="U12" i="16"/>
  <c r="U13" i="16"/>
  <c r="U14" i="16"/>
  <c r="U15" i="16"/>
  <c r="U16" i="16"/>
  <c r="U17" i="16"/>
  <c r="U18" i="16"/>
  <c r="U4" i="16"/>
  <c r="M51" i="14"/>
  <c r="G3" i="4"/>
  <c r="G6" i="4"/>
  <c r="G5" i="4"/>
  <c r="G4" i="4"/>
  <c r="AO7" i="16"/>
  <c r="AO5" i="16"/>
  <c r="AO3" i="16"/>
  <c r="V13" i="16" l="1"/>
  <c r="W13" i="16"/>
  <c r="V14" i="16"/>
  <c r="W14" i="16"/>
  <c r="V6" i="16"/>
  <c r="W6" i="16"/>
  <c r="V12" i="16"/>
  <c r="W12" i="16"/>
  <c r="W11" i="16"/>
  <c r="V11" i="16"/>
  <c r="W10" i="16"/>
  <c r="V10" i="16"/>
  <c r="W17" i="16"/>
  <c r="V17" i="16"/>
  <c r="V15" i="16"/>
  <c r="W15" i="16"/>
  <c r="W9" i="16"/>
  <c r="V9" i="16"/>
  <c r="W8" i="16"/>
  <c r="V8" i="16"/>
  <c r="V7" i="16"/>
  <c r="W7" i="16"/>
  <c r="V5" i="16"/>
  <c r="W5" i="16"/>
  <c r="V4" i="16"/>
  <c r="W4" i="16"/>
  <c r="V18" i="16"/>
  <c r="W18" i="16"/>
  <c r="W16" i="16"/>
  <c r="V16" i="16"/>
  <c r="AO4" i="16"/>
  <c r="AO6" i="16"/>
  <c r="AO8" i="16"/>
  <c r="AO9" i="16"/>
  <c r="AO10" i="16"/>
  <c r="AO11" i="16"/>
  <c r="AO12" i="16"/>
  <c r="AO13" i="16"/>
  <c r="AO14" i="16"/>
  <c r="AO15" i="16"/>
  <c r="AO16" i="16"/>
  <c r="AO17" i="16"/>
  <c r="AO18"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<sst xmlns="http://schemas.openxmlformats.org/spreadsheetml/2006/main" count="718" uniqueCount="372">
  <si>
    <t xml:space="preserve"> • Understanding Relative and Absolute Cell References</t>
  </si>
  <si>
    <t>• Using Multiple Cell References</t>
  </si>
  <si>
    <t xml:space="preserve">Advanced Formula Tasks  </t>
  </si>
  <si>
    <t>• Using 3D References</t>
  </si>
  <si>
    <t>Task</t>
  </si>
  <si>
    <t>Country</t>
  </si>
  <si>
    <t>Product</t>
  </si>
  <si>
    <t>Date</t>
  </si>
  <si>
    <t>Canada</t>
  </si>
  <si>
    <t>Chocolate Chip</t>
  </si>
  <si>
    <t>Mexico</t>
  </si>
  <si>
    <t>Germany</t>
  </si>
  <si>
    <t>France</t>
  </si>
  <si>
    <t>United States</t>
  </si>
  <si>
    <t>Fortune Cookie</t>
  </si>
  <si>
    <t>Oatmeal Raisin</t>
  </si>
  <si>
    <t>Snickerdoodle</t>
  </si>
  <si>
    <t>Sugar</t>
  </si>
  <si>
    <t>White Chocolate Macadamia Nut</t>
  </si>
  <si>
    <t>Quantity price</t>
  </si>
  <si>
    <t>Price Amount</t>
  </si>
  <si>
    <t>Amount</t>
  </si>
  <si>
    <t>Relative Reference:</t>
  </si>
  <si>
    <t>Absolute References:</t>
  </si>
  <si>
    <t>Length Cm</t>
  </si>
  <si>
    <t>Width Cm</t>
  </si>
  <si>
    <t>• Choosing a Chart Type</t>
  </si>
  <si>
    <t>• Changing Colors</t>
  </si>
  <si>
    <t>• Adding Axis Titles</t>
  </si>
  <si>
    <t>• Adding Chart Title</t>
  </si>
  <si>
    <t>• Adding Data Labels</t>
  </si>
  <si>
    <t>• Adding Gridlines</t>
  </si>
  <si>
    <t>• Adding a Legend</t>
  </si>
  <si>
    <t>• Switching Rows and Columns</t>
  </si>
  <si>
    <t xml:space="preserve"> • Using Chart Options</t>
  </si>
  <si>
    <t>Visualizing your data</t>
  </si>
  <si>
    <t>MONTHLY PRODUCTIVITY</t>
  </si>
  <si>
    <t>JAN</t>
  </si>
  <si>
    <t>FEB</t>
  </si>
  <si>
    <t>MAR</t>
  </si>
  <si>
    <t>GERRY</t>
  </si>
  <si>
    <t>JONA</t>
  </si>
  <si>
    <t>CINDY</t>
  </si>
  <si>
    <t>CORIE</t>
  </si>
  <si>
    <t xml:space="preserve"> • Using Styles</t>
  </si>
  <si>
    <t>Sold</t>
  </si>
  <si>
    <t>Multiple References:</t>
  </si>
  <si>
    <t xml:space="preserve">Product </t>
  </si>
  <si>
    <t>Price</t>
  </si>
  <si>
    <t>Jeans</t>
  </si>
  <si>
    <t>Shirts</t>
  </si>
  <si>
    <t>Month</t>
  </si>
  <si>
    <t>Jan</t>
  </si>
  <si>
    <t>Mar</t>
  </si>
  <si>
    <t>Feb</t>
  </si>
  <si>
    <t>3D References:</t>
  </si>
  <si>
    <t>Advanced Functions</t>
  </si>
  <si>
    <t xml:space="preserve"> • Using PROPER, UPPER, and LOWER Functions</t>
  </si>
  <si>
    <t>• Using LEN and SUBSTITUTE Functions</t>
  </si>
  <si>
    <t>•  Using LEFT, RIGHT, and MID Functions</t>
  </si>
  <si>
    <t>•  Using the CONCAT Function</t>
  </si>
  <si>
    <t>• Using VLOOKUP, HLOOKUP, XLOOKUP Function</t>
  </si>
  <si>
    <t>• Using YEAR, MONTH, DAY Functions</t>
  </si>
  <si>
    <t>• Using TODAY, NOW, DATE, and TIME Function</t>
  </si>
  <si>
    <t>• Using IF, AND, OR F</t>
  </si>
  <si>
    <t>• Using SUMIF, COUNTIF, and AVERAGEIF Functions</t>
  </si>
  <si>
    <t>LOWER</t>
  </si>
  <si>
    <t>ERROl</t>
  </si>
  <si>
    <t>UPPER</t>
  </si>
  <si>
    <t>errol</t>
  </si>
  <si>
    <t>PROPER</t>
  </si>
  <si>
    <t>ErRol DanAo</t>
  </si>
  <si>
    <t>TRIM</t>
  </si>
  <si>
    <t xml:space="preserve">Danao,               Errol     </t>
  </si>
  <si>
    <t xml:space="preserve">LEN </t>
  </si>
  <si>
    <t>CONCAT</t>
  </si>
  <si>
    <t>1. Date Format</t>
  </si>
  <si>
    <t>2. Date Function</t>
  </si>
  <si>
    <t>Formula</t>
  </si>
  <si>
    <t>Year</t>
  </si>
  <si>
    <t>Day</t>
  </si>
  <si>
    <t>Complete date</t>
  </si>
  <si>
    <t>Date of Isolation</t>
  </si>
  <si>
    <t>Estimated release of Isolation (14)</t>
  </si>
  <si>
    <t>=NOW()</t>
  </si>
  <si>
    <t>3. Plus days</t>
  </si>
  <si>
    <t>Name</t>
  </si>
  <si>
    <t>Gender</t>
  </si>
  <si>
    <t>Department</t>
  </si>
  <si>
    <t>Date Joined</t>
  </si>
  <si>
    <t>Salary</t>
  </si>
  <si>
    <t>Barr Faughny</t>
  </si>
  <si>
    <t>Female</t>
  </si>
  <si>
    <t>Procurement</t>
  </si>
  <si>
    <t>Dennison Crosswaite</t>
  </si>
  <si>
    <t>Male</t>
  </si>
  <si>
    <t>Website</t>
  </si>
  <si>
    <t>Andria Kimpton</t>
  </si>
  <si>
    <t>Gunar Cockshoot</t>
  </si>
  <si>
    <t>Gigi Bohling</t>
  </si>
  <si>
    <t>Sales</t>
  </si>
  <si>
    <t>Curtice Advani</t>
  </si>
  <si>
    <t>Finance</t>
  </si>
  <si>
    <t>Kaine Padly</t>
  </si>
  <si>
    <t>Ches Bonnell</t>
  </si>
  <si>
    <t>Brien Boise</t>
  </si>
  <si>
    <t>Husein Augar</t>
  </si>
  <si>
    <t>Jan Morforth</t>
  </si>
  <si>
    <t>Dotty Strutley</t>
  </si>
  <si>
    <t>Marney O'Breen</t>
  </si>
  <si>
    <t>Rafaelita Blaksland</t>
  </si>
  <si>
    <t>Beverie Moffet</t>
  </si>
  <si>
    <t>Oby Sorrel</t>
  </si>
  <si>
    <t>1. COUNTA</t>
  </si>
  <si>
    <t>2. COUNTBLANK</t>
  </si>
  <si>
    <t>3. COUNTIF</t>
  </si>
  <si>
    <t>3. COUNTIFS</t>
  </si>
  <si>
    <t>4. SUM</t>
  </si>
  <si>
    <t>5. SUMIF</t>
  </si>
  <si>
    <t>6. SUMIFS</t>
  </si>
  <si>
    <t>7. AVERAGE</t>
  </si>
  <si>
    <t>8. AVERAGEIFS</t>
  </si>
  <si>
    <t xml:space="preserve"> • Understanding Named Ranges</t>
  </si>
  <si>
    <t>•  Defining Named Ranges</t>
  </si>
  <si>
    <t>•  Deleting Named Ranges</t>
  </si>
  <si>
    <t>•  Using Named Ranges in Formulas</t>
  </si>
  <si>
    <t>Jose</t>
  </si>
  <si>
    <t>Juan</t>
  </si>
  <si>
    <t>Joel</t>
  </si>
  <si>
    <t>Lawrence</t>
  </si>
  <si>
    <t>Jessie</t>
  </si>
  <si>
    <t>Sancho</t>
  </si>
  <si>
    <t>Renz</t>
  </si>
  <si>
    <t>Franz</t>
  </si>
  <si>
    <t>Jerson</t>
  </si>
  <si>
    <t>Kat</t>
  </si>
  <si>
    <t>Cathy</t>
  </si>
  <si>
    <t>ramil</t>
  </si>
  <si>
    <t>bernard</t>
  </si>
  <si>
    <t>Angelo</t>
  </si>
  <si>
    <t>Working with Images</t>
  </si>
  <si>
    <t>•  Inserting Smart Art</t>
  </si>
  <si>
    <t>•  Inserting Text Boxes</t>
  </si>
  <si>
    <t>• Inserting WordArt</t>
  </si>
  <si>
    <t>• Inserting Pictures</t>
  </si>
  <si>
    <t>• Inserting Icons</t>
  </si>
  <si>
    <t>• Drawing Shapes</t>
  </si>
  <si>
    <t>Data Tools</t>
  </si>
  <si>
    <t>DATA VALIDATION</t>
  </si>
  <si>
    <t>• Removing Duplicates</t>
  </si>
  <si>
    <t>• Configuring Data Validation</t>
  </si>
  <si>
    <t>•  Transposing Data</t>
  </si>
  <si>
    <t>• Converting Text to Columns</t>
  </si>
  <si>
    <t>• Using Goal Seek</t>
  </si>
  <si>
    <t>•  Consolidating Information</t>
  </si>
  <si>
    <t>• Using the TRIM Function</t>
  </si>
  <si>
    <t>• Using Quick Layout</t>
  </si>
  <si>
    <t>•  Creating and Modifying Templates</t>
  </si>
  <si>
    <t>Convert</t>
  </si>
  <si>
    <t>Annual Salary</t>
  </si>
  <si>
    <t>•  Using Conditional Formatting &amp; duplicate</t>
  </si>
  <si>
    <t>Philippines</t>
  </si>
  <si>
    <t>Iran</t>
  </si>
  <si>
    <t>Conversion rate</t>
  </si>
  <si>
    <t>Employee Name</t>
  </si>
  <si>
    <t>Emp1</t>
  </si>
  <si>
    <t>China</t>
  </si>
  <si>
    <t>Q1 Average</t>
  </si>
  <si>
    <t>Traffic light</t>
  </si>
  <si>
    <t>Yellow</t>
  </si>
  <si>
    <t>Red</t>
  </si>
  <si>
    <t>Green</t>
  </si>
  <si>
    <t>Above 99</t>
  </si>
  <si>
    <t>Greater than or equal 74.45</t>
  </si>
  <si>
    <t>Below or =74.44</t>
  </si>
  <si>
    <t>TEST</t>
  </si>
  <si>
    <t>Emp2</t>
  </si>
  <si>
    <t>Emp3</t>
  </si>
  <si>
    <t>Emp4</t>
  </si>
  <si>
    <t>Emp5</t>
  </si>
  <si>
    <t>Emp6</t>
  </si>
  <si>
    <t>Emp7</t>
  </si>
  <si>
    <t>Emp8</t>
  </si>
  <si>
    <t>Emp9</t>
  </si>
  <si>
    <t>Emp10</t>
  </si>
  <si>
    <t>Emp11</t>
  </si>
  <si>
    <t>Emp12</t>
  </si>
  <si>
    <t>Emp13</t>
  </si>
  <si>
    <t>Emp14</t>
  </si>
  <si>
    <t>SAMPLE DATA - Branch 1: Manila</t>
  </si>
  <si>
    <t>Units</t>
  </si>
  <si>
    <t>Oatmeal</t>
  </si>
  <si>
    <t>Brownie</t>
  </si>
  <si>
    <t>SAMPLE DATA - Branch 2: Cebu</t>
  </si>
  <si>
    <t>SAMPLE DATA - Branch 3: Davao</t>
  </si>
  <si>
    <t>Q1</t>
  </si>
  <si>
    <t>Q2</t>
  </si>
  <si>
    <t>Q3</t>
  </si>
  <si>
    <t>Juan Dela Cruz,Sales,2019-05-14,45000</t>
  </si>
  <si>
    <t>Maria Santos,Finance,2020-11-02,52000</t>
  </si>
  <si>
    <t>Peter Reyes,Operations,2018-01-23,38500</t>
  </si>
  <si>
    <t>Anna Lim,Marketing,2021-07-30,41000</t>
  </si>
  <si>
    <t>Carlos Mendoza,Sales,2017-09-08,47500</t>
  </si>
  <si>
    <t>Grace Tan,Finance,2022-03-17,56000</t>
  </si>
  <si>
    <t>(Name,Department,Date Joined,Salary)</t>
  </si>
  <si>
    <t>4. USING GOAL SEEK</t>
  </si>
  <si>
    <t>SAMPLE MODEL - Cookie Shop Profit (blue = inputs, black = formulas)</t>
  </si>
  <si>
    <t>Units Sold (boxes)</t>
  </si>
  <si>
    <t>Selling Price per Box ($)</t>
  </si>
  <si>
    <t>Variable Cost per Box ($)</t>
  </si>
  <si>
    <t>Fixed Costs ($)</t>
  </si>
  <si>
    <t>Revenue ($)</t>
  </si>
  <si>
    <t>Total Cost ($)</t>
  </si>
  <si>
    <t>PROFIT ($)  &lt;- Set cell</t>
  </si>
  <si>
    <t>Target Profit ($)  &lt;- To value</t>
  </si>
  <si>
    <t>Insert &gt; under Illustrations &gt; SmartArt</t>
  </si>
  <si>
    <t>Insert &gt; under Text &gt; Text Box</t>
  </si>
  <si>
    <t>Insert &gt; under Text &gt; Inserting WordArt</t>
  </si>
  <si>
    <t>Insert &gt; under Illustrations &gt; Pictures</t>
  </si>
  <si>
    <t>Insert &gt; under Illustrations &gt; Icons</t>
  </si>
  <si>
    <t>Reduction/Discount%</t>
  </si>
  <si>
    <t>Insert &gt; under Illustrations &gt; Shapes</t>
  </si>
  <si>
    <t>HR</t>
  </si>
  <si>
    <t>Accounting</t>
  </si>
  <si>
    <t>Marketing</t>
  </si>
  <si>
    <t>Data &gt; Consolidate</t>
  </si>
  <si>
    <t>Data &gt; Text to Columns</t>
  </si>
  <si>
    <t>Juan Dela Cruz</t>
  </si>
  <si>
    <t>Maria Santos</t>
  </si>
  <si>
    <t>Peter Reyes</t>
  </si>
  <si>
    <t>Operations</t>
  </si>
  <si>
    <t>Anna Lim</t>
  </si>
  <si>
    <t>Carlos Mendoza</t>
  </si>
  <si>
    <t>Grace Tan</t>
  </si>
  <si>
    <t>Data &gt; What-if Analysis</t>
  </si>
  <si>
    <t>Module 2 Activity 1  - 15 mins</t>
  </si>
  <si>
    <r>
      <t>Passcode:</t>
    </r>
    <r>
      <rPr>
        <sz val="24"/>
        <color rgb="FF000000"/>
        <rFont val="Calibri"/>
        <family val="2"/>
        <scheme val="minor"/>
      </rPr>
      <t xml:space="preserve"> 219665</t>
    </r>
  </si>
  <si>
    <t>Clean the Data</t>
  </si>
  <si>
    <t>Always use ID</t>
  </si>
  <si>
    <t>If using a name, make sure duplicates are already removed during cleaning the data part</t>
  </si>
  <si>
    <t>=COUNTBLANK(range)</t>
  </si>
  <si>
    <t>=SUMIF(range, criteria, sumrange)</t>
  </si>
  <si>
    <t>=AVERAGE(number cell)</t>
  </si>
  <si>
    <t>=AVERAGEIFS(average range, criteria range 1, criteria 1, criteria range 2, criteria 2)</t>
  </si>
  <si>
    <t>Total Discount per Month</t>
  </si>
  <si>
    <t>Advanced Formatting (Home &gt; Conditional Formatting)</t>
  </si>
  <si>
    <t>=COUNTA(value1)</t>
  </si>
  <si>
    <t>=COUNTIF(range, criteria)</t>
  </si>
  <si>
    <t>=COUNTIFS(criteria range 1, criteria 1, criteria range 2, criteria 2)</t>
  </si>
  <si>
    <t>=SUMIFS(sum range, criteria range 1, criteria 1, criteria range 2, criteria 2)</t>
  </si>
  <si>
    <t>Day 1</t>
  </si>
  <si>
    <t>Day 3</t>
  </si>
  <si>
    <t>Day 2</t>
  </si>
  <si>
    <t>Task: To collect the Total Units Sold in all of our Branches per day</t>
  </si>
  <si>
    <t>Sales Representatives</t>
  </si>
  <si>
    <t>Named Ranges (Formulas &gt; Name Range)</t>
  </si>
  <si>
    <t>IT</t>
  </si>
  <si>
    <t>Criteria</t>
  </si>
  <si>
    <t>Employee</t>
  </si>
  <si>
    <t>Juan dela Cruz</t>
  </si>
  <si>
    <t>John Mendoza</t>
  </si>
  <si>
    <t>Samuel Lim</t>
  </si>
  <si>
    <t>CONSOLIDATING INFORMATION</t>
  </si>
  <si>
    <t>TRANSPOSING DATA</t>
  </si>
  <si>
    <t>CONVERTING TEXT TO COLUMNS</t>
  </si>
  <si>
    <t>• Inserting a Chart</t>
  </si>
  <si>
    <t>SAMPLE</t>
  </si>
  <si>
    <t>LEFT</t>
  </si>
  <si>
    <t>RIGHT</t>
  </si>
  <si>
    <t>MID</t>
  </si>
  <si>
    <t>LOWER, UPPER &amp; PROPER</t>
  </si>
  <si>
    <t>SHIFT DATE</t>
  </si>
  <si>
    <t>FORMULA</t>
  </si>
  <si>
    <t>OUTPUT</t>
  </si>
  <si>
    <t>=TODAY()</t>
  </si>
  <si>
    <t>VLOOKUP</t>
  </si>
  <si>
    <t>XLOOKUP</t>
  </si>
  <si>
    <t>=SUM(range)</t>
  </si>
  <si>
    <t>PRODUCT ID</t>
  </si>
  <si>
    <t>PRODUCT</t>
  </si>
  <si>
    <t>PRICE</t>
  </si>
  <si>
    <t>COLOR</t>
  </si>
  <si>
    <t>P001</t>
  </si>
  <si>
    <t>Jacket</t>
  </si>
  <si>
    <t>White</t>
  </si>
  <si>
    <t>P002</t>
  </si>
  <si>
    <t>Sweater</t>
  </si>
  <si>
    <t>Blue</t>
  </si>
  <si>
    <t>P003</t>
  </si>
  <si>
    <t>Hoodie</t>
  </si>
  <si>
    <t>Grey</t>
  </si>
  <si>
    <t>P004</t>
  </si>
  <si>
    <t>Black</t>
  </si>
  <si>
    <t>P005</t>
  </si>
  <si>
    <t>P006</t>
  </si>
  <si>
    <t>Orange</t>
  </si>
  <si>
    <t>P007</t>
  </si>
  <si>
    <t>Boots</t>
  </si>
  <si>
    <t>Purple</t>
  </si>
  <si>
    <t>P008</t>
  </si>
  <si>
    <t>Shorts</t>
  </si>
  <si>
    <t>P009</t>
  </si>
  <si>
    <t>Scarf</t>
  </si>
  <si>
    <t>P010</t>
  </si>
  <si>
    <t>P011</t>
  </si>
  <si>
    <t>P012</t>
  </si>
  <si>
    <t>Blazer</t>
  </si>
  <si>
    <t>P013</t>
  </si>
  <si>
    <t>Pink</t>
  </si>
  <si>
    <t>P014</t>
  </si>
  <si>
    <t>P015</t>
  </si>
  <si>
    <t>P016</t>
  </si>
  <si>
    <t>P017</t>
  </si>
  <si>
    <t>P018</t>
  </si>
  <si>
    <t>P019</t>
  </si>
  <si>
    <t>Sandals</t>
  </si>
  <si>
    <t>P020</t>
  </si>
  <si>
    <t>P021</t>
  </si>
  <si>
    <t>P022</t>
  </si>
  <si>
    <t>Sunglasses</t>
  </si>
  <si>
    <t>P023</t>
  </si>
  <si>
    <t>P024</t>
  </si>
  <si>
    <t>P025</t>
  </si>
  <si>
    <t>P026</t>
  </si>
  <si>
    <t>P027</t>
  </si>
  <si>
    <t>P028</t>
  </si>
  <si>
    <t>Coat</t>
  </si>
  <si>
    <t>P029</t>
  </si>
  <si>
    <t>P030</t>
  </si>
  <si>
    <t>Backpack</t>
  </si>
  <si>
    <t>P031</t>
  </si>
  <si>
    <t>P032</t>
  </si>
  <si>
    <t>P033</t>
  </si>
  <si>
    <t>P034</t>
  </si>
  <si>
    <t>Hat</t>
  </si>
  <si>
    <t>P035</t>
  </si>
  <si>
    <t>P036</t>
  </si>
  <si>
    <t>P037</t>
  </si>
  <si>
    <t>P038</t>
  </si>
  <si>
    <t>P039</t>
  </si>
  <si>
    <t>P040</t>
  </si>
  <si>
    <t>P041</t>
  </si>
  <si>
    <t>P042</t>
  </si>
  <si>
    <t>P043</t>
  </si>
  <si>
    <t>P044</t>
  </si>
  <si>
    <t>Socks</t>
  </si>
  <si>
    <t>P045</t>
  </si>
  <si>
    <t>P046</t>
  </si>
  <si>
    <t>P047</t>
  </si>
  <si>
    <t>P048</t>
  </si>
  <si>
    <t>P049</t>
  </si>
  <si>
    <t>Skirt</t>
  </si>
  <si>
    <t>P050</t>
  </si>
  <si>
    <t>Count of Red products</t>
  </si>
  <si>
    <t>Average price of Blue products</t>
  </si>
  <si>
    <t>QUANTITY SOLD</t>
  </si>
  <si>
    <t>Dress</t>
  </si>
  <si>
    <t>Belt</t>
  </si>
  <si>
    <t>T-Shirt</t>
  </si>
  <si>
    <t>Sales Report Data</t>
  </si>
  <si>
    <t>FUNCTIONS</t>
  </si>
  <si>
    <t>CRITERIA1</t>
  </si>
  <si>
    <t>CRITERIA2</t>
  </si>
  <si>
    <t>Count of rows with a recorded Quantity Sold (non-blank)</t>
  </si>
  <si>
    <t>Count of rows missing a Quantity Sold value</t>
  </si>
  <si>
    <t>Count of Red products priced above $50</t>
  </si>
  <si>
    <t>Total units sold across all products</t>
  </si>
  <si>
    <t>Total units sold, Jackets only</t>
  </si>
  <si>
    <t>Total units sold, Black items priced above $30</t>
  </si>
  <si>
    <t>Average price across all products</t>
  </si>
  <si>
    <t>Employee ID</t>
  </si>
  <si>
    <t>Lyra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</si>
</sst>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164" formatCode="_-* #,##0.00_-;\-* #,##0.00_-;_-* &quot;-&quot;??_-;_-@_-"/>
    <numFmt numFmtId="165" formatCode="[$-409]h:mm\ AM/PM;@"/>
    <numFmt numFmtId="166" formatCode="[$-409]dd\-mmm\-yy;@"/>
    <numFmt numFmtId="167" formatCode="&quot;$&quot;#,##0"/>
    <numFmt numFmtId="168" formatCode="_-* #,##0_-;\-* #,##0_-;_-* &quot;-&quot;??_-;_-@_-"/>
    <numFmt numFmtId="169" formatCode="&quot;$&quot;#,##0.00"/>
    <numFmt numFmtId="170" formatCode="[$$-409]#,##0.00"/>
    <numFmt numFmtId="171" formatCode="m/d/yy;@"/>
    <numFmt numFmtId="172" formatCode="yyyy\-mm\-dd;@"/>
    <numFmt numFmtId="173" formatCode="mm/dd/yy;@"/>
    <numFmt numFmtId="174" formatCode="[$$-409]#,##0.00_ ;\-[$$-409]#,##0.00\ "/>
    <numFmt numFmtId="175" formatCode="[$$-409]#,##0"/>
    <numFmt numFmtId="176" formatCode="[$-409]m/d/yy\ h:mm\ AM/PM;@"/>
    <numFmt numFmtId="177" formatCode="&quot;$&quot;#,##0;\(&quot;$&quot;#,##0\);\-"/>
    <numFmt numFmtId="178" formatCode="\$#,##0.00"/>
  </numFmts>
  <fonts count="3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0"/>
      <color theme="0"/>
      <name val="Calibri"/>
      <family val="2"/>
      <scheme val="minor"/>
    </font>
    <font>
      <sz val="8"/>
      <color theme="1"/>
      <name val="Calibri"/>
      <family val="2"/>
      <scheme val="minor"/>
    </font>
    <font>
      <sz val="10"/>
      <color rgb="FF000000"/>
      <name val="Calibri"/>
      <family val="2"/>
      <scheme val="minor"/>
    </font>
    <font>
      <b/>
      <sz val="8"/>
      <color theme="1"/>
      <name val="Calibri"/>
      <family val="2"/>
      <scheme val="minor"/>
    </font>
    <font>
      <b/>
      <sz val="8"/>
      <color theme="0"/>
      <name val="Calibri"/>
      <family val="2"/>
      <scheme val="minor"/>
    </font>
    <font>
      <sz val="9"/>
      <color theme="1"/>
      <name val="Arial"/>
      <family val="2"/>
    </font>
    <font>
      <sz val="8"/>
      <name val="Calibri"/>
      <family val="2"/>
      <scheme val="minor"/>
    </font>
    <font>
      <sz val="11"/>
      <color rgb="FF0000FF"/>
      <name val="Calibri"/>
      <family val="2"/>
      <scheme val="minor"/>
    </font>
    <font>
      <b/>
      <sz val="12"/>
      <color rgb="FFFFFFFF"/>
      <name val="Calibri"/>
      <family val="2"/>
      <scheme val="minor"/>
    </font>
    <font>
      <b/>
      <sz val="36"/>
      <color rgb="FF000000"/>
      <name val="Calibri"/>
      <family val="2"/>
      <scheme val="minor"/>
    </font>
    <font>
      <b/>
      <sz val="24"/>
      <color rgb="FF000000"/>
      <name val="Calibri"/>
      <family val="2"/>
      <scheme val="minor"/>
    </font>
    <font>
      <sz val="24"/>
      <color rgb="FF000000"/>
      <name val="Calibri"/>
      <family val="2"/>
      <scheme val="minor"/>
    </font>
    <font>
      <sz val="11"/>
      <color rgb="FF000000"/>
      <name val="Calibri"/>
      <family val="2"/>
      <scheme val="minor"/>
    </font>
    <font>
      <b/>
      <sz val="11"/>
      <color rgb="FF000000"/>
      <name val="Calibri"/>
      <family val="2"/>
      <scheme val="minor"/>
    </font>
    <font>
      <b/>
      <sz val="10"/>
      <color rgb="FF000000"/>
      <name val="Calibri"/>
      <family val="2"/>
      <scheme val="minor"/>
    </font>
    <font>
      <b/>
      <sz val="10"/>
      <color theme="1"/>
      <name val="Calibri"/>
      <family val="2"/>
      <scheme val="minor"/>
    </font>
    <font>
      <sz val="10"/>
      <color theme="1"/>
      <name val="Calibri"/>
      <family val="2"/>
      <scheme val="minor"/>
    </font>
    <font>
      <sz val="11"/>
      <color theme="1"/>
      <name val="Calibri"/>
      <family val="2"/>
    </font>
    <font>
      <sz val="10"/>
      <color theme="1"/>
      <name val="Calibri"/>
      <family val="2"/>
    </font>
    <font>
      <b/>
      <sz val="10"/>
      <color theme="1"/>
      <name val="Calibri"/>
      <family val="2"/>
    </font>
    <font>
      <b/>
      <sz val="11"/>
      <color theme="1"/>
      <name val="Calibri"/>
      <family val="2"/>
    </font>
    <font>
      <b/>
      <sz val="11"/>
      <color theme="0"/>
      <name val="Calibri"/>
      <family val="2"/>
    </font>
    <font>
      <b/>
      <sz val="12"/>
      <color theme="1"/>
      <name val="Calibri"/>
      <family val="2"/>
      <scheme val="minor"/>
    </font>
    <font>
      <b/>
      <sz val="10"/>
      <color theme="0"/>
      <name val="Arial"/>
      <family val="2"/>
    </font>
    <font>
      <b/>
      <sz val="11"/>
      <color theme="0"/>
      <name val="Arial"/>
      <family val="2"/>
    </font>
    <font>
      <b/>
      <sz val="12"/>
      <color theme="0"/>
      <name val="Calibri"/>
      <family val="2"/>
      <scheme val="minor"/>
    </font>
    <font>
      <sz val="11"/>
      <color theme="1"/>
      <name val="Calibri"/>
      <family val="2"/>
      <charset val="1"/>
    </font>
    <font>
      <sz val="11"/>
      <name val="Arial"/>
      <family val="2"/>
    </font>
  </fonts>
  <fills count="15">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0070C0"/>
        <bgColor rgb="FF000000"/>
      </patternFill>
    </fill>
    <fill>
      <patternFill patternType="solid">
        <fgColor rgb="FF00B050"/>
        <bgColor indexed="64"/>
      </patternFill>
    </fill>
    <fill>
      <patternFill patternType="solid">
        <fgColor rgb="FFFF0000"/>
        <bgColor indexed="64"/>
      </patternFill>
    </fill>
    <fill>
      <patternFill patternType="solid">
        <fgColor rgb="FFFFF2CC"/>
        <bgColor indexed="64"/>
      </patternFill>
    </fill>
    <fill>
      <patternFill patternType="solid">
        <fgColor rgb="FF2E75B6"/>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249977111117893"/>
        <bgColor rgb="FFD8D8D8"/>
      </patternFill>
    </fill>
    <fill>
      <patternFill patternType="solid">
        <fgColor theme="4" tint="-0.249977111117893"/>
        <bgColor rgb="FF00B0F0"/>
      </patternFill>
    </fill>
    <fill>
      <patternFill patternType="solid">
        <fgColor theme="4"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auto="1"/>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0" fontId="30" fillId="0" borderId="0"/>
  </cellStyleXfs>
  <cellXfs count="200">
    <xf numFmtId="0" fontId="0" fillId="0" borderId="0" xfId="0"/>
    <xf numFmtId="0" fontId="4" fillId="2" borderId="1" xfId="0" applyFont="1" applyFill="1" applyBorder="1" applyAlignment="1">
      <alignment horizontal="center" vertical="center"/>
    </xf>
    <xf numFmtId="0" fontId="5" fillId="0" borderId="0" xfId="0" applyFont="1" applyAlignment="1">
      <alignment horizontal="left" vertical="center" indent="1"/>
    </xf>
    <xf numFmtId="0" fontId="6" fillId="0" borderId="1" xfId="0" applyFont="1" applyBorder="1" applyAlignment="1">
      <alignment horizontal="center" vertical="center"/>
    </xf>
    <xf numFmtId="0" fontId="5" fillId="0" borderId="1" xfId="0" applyFont="1" applyBorder="1" applyAlignment="1">
      <alignment horizontal="left" vertical="center" indent="1"/>
    </xf>
    <xf numFmtId="0" fontId="7" fillId="0" borderId="0" xfId="0" applyFont="1" applyAlignment="1">
      <alignment horizontal="left" vertical="center" indent="1"/>
    </xf>
    <xf numFmtId="0" fontId="0" fillId="0" borderId="1" xfId="0" applyBorder="1" applyAlignment="1">
      <alignment horizontal="left"/>
    </xf>
    <xf numFmtId="0" fontId="5" fillId="0" borderId="5" xfId="0" applyFont="1" applyBorder="1" applyAlignment="1">
      <alignment horizontal="left" vertical="center" indent="1"/>
    </xf>
    <xf numFmtId="0" fontId="5" fillId="0" borderId="7" xfId="0" applyFont="1" applyBorder="1" applyAlignment="1">
      <alignment horizontal="left" vertical="center" indent="1"/>
    </xf>
    <xf numFmtId="0" fontId="5" fillId="0" borderId="8" xfId="0" applyFont="1" applyBorder="1" applyAlignment="1">
      <alignment horizontal="left" vertical="center" indent="1"/>
    </xf>
    <xf numFmtId="0" fontId="5" fillId="0" borderId="9" xfId="0" applyFont="1" applyBorder="1" applyAlignment="1">
      <alignment horizontal="left" vertical="center" indent="1"/>
    </xf>
    <xf numFmtId="0" fontId="5" fillId="0" borderId="0" xfId="0" applyFont="1" applyAlignment="1">
      <alignment horizontal="center" vertical="center"/>
    </xf>
    <xf numFmtId="0" fontId="9" fillId="0" borderId="12" xfId="0" applyFont="1" applyBorder="1" applyAlignment="1">
      <alignment horizontal="center" vertical="center" wrapText="1"/>
    </xf>
    <xf numFmtId="14" fontId="0" fillId="0" borderId="0" xfId="0" applyNumberFormat="1"/>
    <xf numFmtId="0" fontId="0" fillId="0" borderId="0" xfId="0" quotePrefix="1"/>
    <xf numFmtId="0" fontId="0" fillId="0" borderId="0" xfId="0" applyAlignment="1">
      <alignment horizontal="center"/>
    </xf>
    <xf numFmtId="14" fontId="0" fillId="0" borderId="0" xfId="0" applyNumberFormat="1" applyAlignment="1">
      <alignment horizontal="center"/>
    </xf>
    <xf numFmtId="22" fontId="0" fillId="0" borderId="0" xfId="0" quotePrefix="1" applyNumberFormat="1"/>
    <xf numFmtId="165" fontId="0" fillId="0" borderId="0" xfId="0" applyNumberFormat="1"/>
    <xf numFmtId="0" fontId="3" fillId="0" borderId="0" xfId="0" applyFont="1"/>
    <xf numFmtId="0" fontId="0" fillId="0" borderId="16" xfId="0" applyBorder="1"/>
    <xf numFmtId="0" fontId="0" fillId="0" borderId="14" xfId="0" applyBorder="1"/>
    <xf numFmtId="0" fontId="2" fillId="2" borderId="14" xfId="0" applyFont="1" applyFill="1" applyBorder="1" applyAlignment="1">
      <alignment horizontal="right"/>
    </xf>
    <xf numFmtId="0" fontId="2" fillId="2" borderId="14" xfId="0" applyFont="1" applyFill="1" applyBorder="1"/>
    <xf numFmtId="2" fontId="5" fillId="0" borderId="0" xfId="0" applyNumberFormat="1" applyFont="1" applyAlignment="1">
      <alignment horizontal="center" vertical="center"/>
    </xf>
    <xf numFmtId="0" fontId="0" fillId="0" borderId="1" xfId="0" applyBorder="1" applyAlignment="1">
      <alignment horizontal="center"/>
    </xf>
    <xf numFmtId="0" fontId="7" fillId="0" borderId="1" xfId="0" applyFont="1" applyBorder="1" applyAlignment="1">
      <alignment horizontal="left" vertical="center" indent="1"/>
    </xf>
    <xf numFmtId="170" fontId="0" fillId="0" borderId="0" xfId="0" applyNumberFormat="1"/>
    <xf numFmtId="171" fontId="0" fillId="0" borderId="0" xfId="0" applyNumberFormat="1"/>
    <xf numFmtId="173" fontId="0" fillId="0" borderId="0" xfId="0" applyNumberFormat="1"/>
    <xf numFmtId="173" fontId="0" fillId="0" borderId="14" xfId="0" applyNumberFormat="1" applyBorder="1"/>
    <xf numFmtId="14" fontId="0" fillId="0" borderId="16" xfId="0" applyNumberFormat="1" applyBorder="1"/>
    <xf numFmtId="170" fontId="0" fillId="0" borderId="16" xfId="0" applyNumberFormat="1" applyBorder="1"/>
    <xf numFmtId="172" fontId="0" fillId="0" borderId="0" xfId="0" applyNumberFormat="1"/>
    <xf numFmtId="164" fontId="0" fillId="0" borderId="16" xfId="1" applyFont="1" applyBorder="1"/>
    <xf numFmtId="174" fontId="0" fillId="0" borderId="0" xfId="1" applyNumberFormat="1" applyFont="1" applyFill="1"/>
    <xf numFmtId="175" fontId="0" fillId="0" borderId="0" xfId="0" applyNumberFormat="1" applyAlignment="1">
      <alignment horizontal="center"/>
    </xf>
    <xf numFmtId="175" fontId="2" fillId="2" borderId="0" xfId="0" applyNumberFormat="1" applyFont="1" applyFill="1"/>
    <xf numFmtId="175" fontId="0" fillId="0" borderId="0" xfId="0" applyNumberFormat="1"/>
    <xf numFmtId="0" fontId="0" fillId="0" borderId="16" xfId="0" applyBorder="1" applyAlignment="1">
      <alignment horizontal="center"/>
    </xf>
    <xf numFmtId="0" fontId="0" fillId="0" borderId="15" xfId="0" applyBorder="1"/>
    <xf numFmtId="166" fontId="0" fillId="0" borderId="16" xfId="0" applyNumberFormat="1" applyBorder="1" applyAlignment="1">
      <alignment horizontal="center"/>
    </xf>
    <xf numFmtId="167" fontId="0" fillId="0" borderId="16" xfId="0" applyNumberFormat="1" applyBorder="1" applyAlignment="1">
      <alignment horizontal="center"/>
    </xf>
    <xf numFmtId="169" fontId="0" fillId="0" borderId="0" xfId="0" applyNumberFormat="1"/>
    <xf numFmtId="0" fontId="0" fillId="5" borderId="0" xfId="0" applyFill="1"/>
    <xf numFmtId="0" fontId="0" fillId="3" borderId="0" xfId="0" applyFill="1"/>
    <xf numFmtId="0" fontId="0" fillId="6" borderId="0" xfId="0" applyFill="1"/>
    <xf numFmtId="0" fontId="2" fillId="0" borderId="0" xfId="0" applyFont="1"/>
    <xf numFmtId="176" fontId="0" fillId="0" borderId="0" xfId="0" applyNumberFormat="1"/>
    <xf numFmtId="0" fontId="2" fillId="2" borderId="0" xfId="0" applyFont="1" applyFill="1" applyAlignment="1">
      <alignment horizontal="center"/>
    </xf>
    <xf numFmtId="0" fontId="2" fillId="2" borderId="14" xfId="0" applyFont="1" applyFill="1" applyBorder="1" applyAlignment="1">
      <alignment horizontal="center"/>
    </xf>
    <xf numFmtId="1" fontId="0" fillId="0" borderId="0" xfId="0" applyNumberFormat="1"/>
    <xf numFmtId="170" fontId="0" fillId="0" borderId="14" xfId="0" applyNumberFormat="1" applyBorder="1"/>
    <xf numFmtId="2" fontId="5" fillId="0" borderId="18" xfId="0" applyNumberFormat="1" applyFont="1" applyBorder="1" applyAlignment="1">
      <alignment horizontal="left" vertical="center" indent="1"/>
    </xf>
    <xf numFmtId="2" fontId="5" fillId="0" borderId="19" xfId="0" applyNumberFormat="1" applyFont="1" applyBorder="1" applyAlignment="1">
      <alignment horizontal="left" vertical="center" indent="1"/>
    </xf>
    <xf numFmtId="0" fontId="5" fillId="0" borderId="20" xfId="0" applyFont="1" applyBorder="1" applyAlignment="1">
      <alignment horizontal="left" vertical="center" indent="1"/>
    </xf>
    <xf numFmtId="0" fontId="3" fillId="7" borderId="0" xfId="0" applyFont="1" applyFill="1"/>
    <xf numFmtId="0" fontId="3" fillId="0" borderId="25" xfId="0" applyFont="1" applyBorder="1"/>
    <xf numFmtId="0" fontId="0" fillId="0" borderId="25" xfId="0" applyBorder="1"/>
    <xf numFmtId="0" fontId="11" fillId="0" borderId="25" xfId="0" applyFont="1" applyBorder="1"/>
    <xf numFmtId="177" fontId="11" fillId="0" borderId="25" xfId="0" applyNumberFormat="1" applyFont="1" applyBorder="1"/>
    <xf numFmtId="177" fontId="0" fillId="0" borderId="25" xfId="0" applyNumberFormat="1" applyBorder="1"/>
    <xf numFmtId="0" fontId="12" fillId="8" borderId="0" xfId="0" applyFont="1" applyFill="1"/>
    <xf numFmtId="177" fontId="3" fillId="3" borderId="25" xfId="0" applyNumberFormat="1" applyFont="1" applyFill="1" applyBorder="1"/>
    <xf numFmtId="177" fontId="0" fillId="0" borderId="0" xfId="0" applyNumberFormat="1"/>
    <xf numFmtId="3" fontId="11" fillId="9" borderId="25" xfId="0" applyNumberFormat="1" applyFont="1" applyFill="1" applyBorder="1"/>
    <xf numFmtId="3" fontId="3" fillId="0" borderId="0" xfId="0" applyNumberFormat="1" applyFont="1"/>
    <xf numFmtId="0" fontId="5" fillId="0" borderId="8" xfId="0" quotePrefix="1" applyFont="1" applyBorder="1" applyAlignment="1">
      <alignment horizontal="left" vertical="center" indent="1"/>
    </xf>
    <xf numFmtId="0" fontId="13" fillId="0" borderId="0" xfId="0" applyFont="1"/>
    <xf numFmtId="0" fontId="14" fillId="0" borderId="0" xfId="0" applyFont="1"/>
    <xf numFmtId="0" fontId="5" fillId="0" borderId="0" xfId="0" quotePrefix="1" applyFont="1" applyAlignment="1">
      <alignment horizontal="left" vertical="center" indent="1"/>
    </xf>
    <xf numFmtId="0" fontId="3" fillId="0" borderId="0" xfId="0" applyFont="1" applyAlignment="1">
      <alignment horizontal="left" vertical="center" indent="1"/>
    </xf>
    <xf numFmtId="0" fontId="3" fillId="0" borderId="1" xfId="0" applyFont="1" applyBorder="1" applyAlignment="1">
      <alignment horizontal="left"/>
    </xf>
    <xf numFmtId="0" fontId="0" fillId="0" borderId="0" xfId="0" applyAlignment="1">
      <alignment horizontal="left" vertical="center" indent="1"/>
    </xf>
    <xf numFmtId="0" fontId="2" fillId="2" borderId="1" xfId="0" applyFont="1" applyFill="1" applyBorder="1" applyAlignment="1">
      <alignment horizontal="center" vertical="center"/>
    </xf>
    <xf numFmtId="0" fontId="16" fillId="0" borderId="1" xfId="0" applyFont="1" applyBorder="1" applyAlignment="1">
      <alignment horizontal="left" vertical="center"/>
    </xf>
    <xf numFmtId="0" fontId="16"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indent="1"/>
    </xf>
    <xf numFmtId="2" fontId="0" fillId="0" borderId="0" xfId="0" applyNumberFormat="1"/>
    <xf numFmtId="0" fontId="17" fillId="0" borderId="1" xfId="0" applyFont="1" applyBorder="1" applyAlignment="1">
      <alignment horizontal="left" vertical="center"/>
    </xf>
    <xf numFmtId="2" fontId="3" fillId="0" borderId="1" xfId="0" applyNumberFormat="1" applyFont="1" applyBorder="1" applyAlignment="1">
      <alignment horizontal="center" vertical="center"/>
    </xf>
    <xf numFmtId="0" fontId="3" fillId="0" borderId="1" xfId="0" applyFont="1" applyBorder="1" applyAlignment="1">
      <alignment horizontal="left" vertical="center" indent="1"/>
    </xf>
    <xf numFmtId="9" fontId="3" fillId="0" borderId="1" xfId="0" applyNumberFormat="1" applyFont="1" applyBorder="1" applyAlignment="1">
      <alignment horizontal="center" vertical="center"/>
    </xf>
    <xf numFmtId="0" fontId="16" fillId="0" borderId="1" xfId="0" quotePrefix="1" applyFont="1" applyBorder="1" applyAlignment="1">
      <alignment horizontal="center" vertical="center"/>
    </xf>
    <xf numFmtId="0" fontId="2" fillId="2" borderId="1" xfId="0" applyFont="1" applyFill="1" applyBorder="1" applyAlignment="1">
      <alignment horizontal="left" vertical="center" indent="1"/>
    </xf>
    <xf numFmtId="168" fontId="7" fillId="0" borderId="0" xfId="0" applyNumberFormat="1" applyFont="1" applyAlignment="1">
      <alignment horizontal="left" vertical="center" indent="1"/>
    </xf>
    <xf numFmtId="0" fontId="18" fillId="0" borderId="1" xfId="0" applyFont="1" applyBorder="1" applyAlignment="1">
      <alignment horizontal="left" vertical="center"/>
    </xf>
    <xf numFmtId="0" fontId="19" fillId="0" borderId="1" xfId="0" applyFont="1" applyBorder="1" applyAlignment="1">
      <alignment horizontal="left"/>
    </xf>
    <xf numFmtId="0" fontId="3" fillId="10" borderId="0" xfId="0" applyFont="1" applyFill="1" applyAlignment="1">
      <alignment horizontal="left" vertical="center" indent="1"/>
    </xf>
    <xf numFmtId="0" fontId="0" fillId="10" borderId="0" xfId="0" applyFill="1" applyAlignment="1">
      <alignment horizontal="left" vertical="center" indent="1"/>
    </xf>
    <xf numFmtId="0" fontId="8" fillId="2" borderId="3" xfId="0" applyFont="1" applyFill="1" applyBorder="1" applyAlignment="1">
      <alignment horizontal="left" vertical="center" indent="1"/>
    </xf>
    <xf numFmtId="14" fontId="8" fillId="2" borderId="2" xfId="0" applyNumberFormat="1" applyFont="1" applyFill="1" applyBorder="1" applyAlignment="1">
      <alignment horizontal="left" vertical="center" indent="1"/>
    </xf>
    <xf numFmtId="0" fontId="8" fillId="2" borderId="4" xfId="0" applyFont="1" applyFill="1" applyBorder="1" applyAlignment="1">
      <alignment horizontal="left" vertical="center" indent="1"/>
    </xf>
    <xf numFmtId="14" fontId="7" fillId="0" borderId="5" xfId="0" applyNumberFormat="1" applyFont="1" applyBorder="1" applyAlignment="1">
      <alignment horizontal="left" vertical="center" indent="1"/>
    </xf>
    <xf numFmtId="168" fontId="7" fillId="0" borderId="6" xfId="1" applyNumberFormat="1" applyFont="1" applyBorder="1" applyAlignment="1">
      <alignment horizontal="left" vertical="center" indent="1"/>
    </xf>
    <xf numFmtId="14" fontId="7" fillId="0" borderId="7" xfId="0" applyNumberFormat="1" applyFont="1" applyBorder="1" applyAlignment="1">
      <alignment horizontal="left" vertical="center" indent="1"/>
    </xf>
    <xf numFmtId="0" fontId="7" fillId="0" borderId="8" xfId="0" applyFont="1" applyBorder="1" applyAlignment="1">
      <alignment horizontal="left" vertical="center" indent="1"/>
    </xf>
    <xf numFmtId="168" fontId="7" fillId="0" borderId="9" xfId="1" applyNumberFormat="1" applyFont="1" applyBorder="1" applyAlignment="1">
      <alignment horizontal="left" vertical="center" indent="1"/>
    </xf>
    <xf numFmtId="0" fontId="7" fillId="3" borderId="21" xfId="0" applyFont="1" applyFill="1" applyBorder="1" applyAlignment="1">
      <alignment horizontal="left" vertical="center" indent="1"/>
    </xf>
    <xf numFmtId="0" fontId="7" fillId="3" borderId="22" xfId="0" applyFont="1" applyFill="1" applyBorder="1" applyAlignment="1">
      <alignment horizontal="left" vertical="center" indent="1"/>
    </xf>
    <xf numFmtId="0" fontId="7" fillId="3" borderId="23" xfId="0" applyFont="1" applyFill="1" applyBorder="1" applyAlignment="1">
      <alignment horizontal="left" vertical="center" indent="1"/>
    </xf>
    <xf numFmtId="0" fontId="7" fillId="3" borderId="24" xfId="0" applyFont="1" applyFill="1" applyBorder="1" applyAlignment="1">
      <alignment horizontal="left" vertical="center" indent="1"/>
    </xf>
    <xf numFmtId="0" fontId="5" fillId="0" borderId="26" xfId="0" applyFont="1" applyBorder="1" applyAlignment="1">
      <alignment horizontal="left" vertical="center" indent="1"/>
    </xf>
    <xf numFmtId="2" fontId="5" fillId="0" borderId="27" xfId="0" applyNumberFormat="1" applyFont="1" applyBorder="1" applyAlignment="1">
      <alignment horizontal="left" vertical="center" indent="1"/>
    </xf>
    <xf numFmtId="2" fontId="5" fillId="0" borderId="6" xfId="0" applyNumberFormat="1" applyFont="1" applyBorder="1" applyAlignment="1">
      <alignment horizontal="left" vertical="center" indent="1"/>
    </xf>
    <xf numFmtId="2" fontId="5" fillId="0" borderId="17" xfId="0" applyNumberFormat="1" applyFont="1" applyBorder="1" applyAlignment="1">
      <alignment horizontal="left" vertical="center" indent="1"/>
    </xf>
    <xf numFmtId="2" fontId="5" fillId="0" borderId="9" xfId="0" applyNumberFormat="1" applyFont="1" applyBorder="1" applyAlignment="1">
      <alignment horizontal="left" vertical="center" indent="1"/>
    </xf>
    <xf numFmtId="0" fontId="19" fillId="0" borderId="0" xfId="0" applyFont="1" applyAlignment="1">
      <alignment horizontal="left" vertical="center" indent="1"/>
    </xf>
    <xf numFmtId="0" fontId="24" fillId="0" borderId="0" xfId="0" applyFont="1" applyAlignment="1">
      <alignment horizontal="right" vertical="center"/>
    </xf>
    <xf numFmtId="0" fontId="23" fillId="0" borderId="0" xfId="0" applyFont="1" applyAlignment="1">
      <alignment horizontal="center" vertical="center"/>
    </xf>
    <xf numFmtId="0" fontId="23" fillId="0" borderId="0" xfId="0" applyFont="1" applyAlignment="1">
      <alignment horizontal="right" vertical="center"/>
    </xf>
    <xf numFmtId="0" fontId="19" fillId="0" borderId="0" xfId="0" applyFont="1" applyAlignment="1">
      <alignment horizontal="right" vertical="center"/>
    </xf>
    <xf numFmtId="0" fontId="23" fillId="0" borderId="28" xfId="0" applyFont="1" applyBorder="1" applyAlignment="1">
      <alignment horizontal="left" vertical="center"/>
    </xf>
    <xf numFmtId="0" fontId="23" fillId="0" borderId="0" xfId="0" applyFont="1" applyAlignment="1">
      <alignment horizontal="left" vertical="center"/>
    </xf>
    <xf numFmtId="0" fontId="3" fillId="0" borderId="0" xfId="0" applyFont="1" applyAlignment="1">
      <alignment horizontal="right"/>
    </xf>
    <xf numFmtId="0" fontId="21" fillId="0" borderId="0" xfId="0" applyFont="1" applyAlignment="1">
      <alignment horizontal="right" vertical="center"/>
    </xf>
    <xf numFmtId="0" fontId="22" fillId="0" borderId="1" xfId="0" applyFont="1" applyBorder="1" applyAlignment="1">
      <alignment horizontal="left" vertical="center"/>
    </xf>
    <xf numFmtId="0" fontId="23" fillId="11" borderId="1" xfId="0" applyFont="1" applyFill="1" applyBorder="1" applyAlignment="1">
      <alignment horizontal="left" vertical="center"/>
    </xf>
    <xf numFmtId="0" fontId="25" fillId="12" borderId="29" xfId="0" applyFont="1" applyFill="1" applyBorder="1" applyAlignment="1">
      <alignment horizontal="center" vertical="center"/>
    </xf>
    <xf numFmtId="0" fontId="25" fillId="13" borderId="29" xfId="0" applyFont="1" applyFill="1" applyBorder="1" applyAlignment="1">
      <alignment horizontal="center" vertical="center"/>
    </xf>
    <xf numFmtId="0" fontId="0" fillId="0" borderId="5" xfId="0" applyBorder="1" applyAlignment="1">
      <alignment horizontal="left" vertical="center" indent="1"/>
    </xf>
    <xf numFmtId="0" fontId="0" fillId="0" borderId="6" xfId="0" applyBorder="1" applyAlignment="1">
      <alignment horizontal="left" vertical="center" indent="1"/>
    </xf>
    <xf numFmtId="0" fontId="0" fillId="0" borderId="18" xfId="0" applyBorder="1" applyAlignment="1">
      <alignment horizontal="left" vertical="center" indent="1"/>
    </xf>
    <xf numFmtId="1" fontId="0" fillId="0" borderId="6" xfId="0" applyNumberFormat="1" applyBorder="1" applyAlignment="1">
      <alignment horizontal="center"/>
    </xf>
    <xf numFmtId="0" fontId="0" fillId="0" borderId="7" xfId="0" applyBorder="1" applyAlignment="1">
      <alignment horizontal="left" vertical="center" indent="1"/>
    </xf>
    <xf numFmtId="0" fontId="0" fillId="0" borderId="8" xfId="0" applyBorder="1" applyAlignment="1">
      <alignment horizontal="left" vertical="center" indent="1"/>
    </xf>
    <xf numFmtId="0" fontId="0" fillId="0" borderId="9" xfId="0" applyBorder="1" applyAlignment="1">
      <alignment horizontal="left" vertical="center" indent="1"/>
    </xf>
    <xf numFmtId="0" fontId="0" fillId="0" borderId="17" xfId="0" applyBorder="1" applyAlignment="1">
      <alignment horizontal="left" vertical="center" indent="1"/>
    </xf>
    <xf numFmtId="1" fontId="0" fillId="0" borderId="9" xfId="0" applyNumberFormat="1" applyBorder="1" applyAlignment="1">
      <alignment horizontal="center"/>
    </xf>
    <xf numFmtId="0" fontId="0" fillId="0" borderId="26" xfId="0" applyBorder="1" applyAlignment="1">
      <alignment horizontal="left" vertical="center" indent="1"/>
    </xf>
    <xf numFmtId="0" fontId="0" fillId="0" borderId="20" xfId="0" applyBorder="1" applyAlignment="1">
      <alignment horizontal="left" vertical="center" indent="1"/>
    </xf>
    <xf numFmtId="0" fontId="0" fillId="0" borderId="27" xfId="0" applyBorder="1" applyAlignment="1">
      <alignment horizontal="left" vertical="center" indent="1"/>
    </xf>
    <xf numFmtId="0" fontId="0" fillId="0" borderId="19" xfId="0" applyBorder="1" applyAlignment="1">
      <alignment horizontal="left" vertical="center" indent="1"/>
    </xf>
    <xf numFmtId="1" fontId="0" fillId="0" borderId="27" xfId="0" applyNumberFormat="1" applyBorder="1" applyAlignment="1">
      <alignment horizontal="center"/>
    </xf>
    <xf numFmtId="0" fontId="3" fillId="3" borderId="21" xfId="0" applyFont="1" applyFill="1" applyBorder="1" applyAlignment="1">
      <alignment horizontal="left" vertical="center" indent="1"/>
    </xf>
    <xf numFmtId="0" fontId="3" fillId="3" borderId="23" xfId="0" applyFont="1" applyFill="1" applyBorder="1" applyAlignment="1">
      <alignment horizontal="left" vertical="center" indent="1"/>
    </xf>
    <xf numFmtId="0" fontId="3" fillId="3" borderId="24" xfId="0" applyFont="1" applyFill="1" applyBorder="1" applyAlignment="1">
      <alignment horizontal="left" vertical="center" indent="1"/>
    </xf>
    <xf numFmtId="0" fontId="3" fillId="3" borderId="24" xfId="0" applyFont="1" applyFill="1" applyBorder="1" applyAlignment="1">
      <alignment horizontal="center" vertical="center"/>
    </xf>
    <xf numFmtId="0" fontId="19" fillId="0" borderId="7" xfId="0" applyFont="1" applyBorder="1" applyAlignment="1">
      <alignment horizontal="left" vertical="center" indent="1"/>
    </xf>
    <xf numFmtId="0" fontId="2" fillId="2" borderId="3" xfId="0" applyFont="1" applyFill="1" applyBorder="1" applyAlignment="1">
      <alignment horizontal="center" vertical="center"/>
    </xf>
    <xf numFmtId="0" fontId="2" fillId="2" borderId="32" xfId="0" applyFont="1" applyFill="1" applyBorder="1" applyAlignment="1">
      <alignment horizontal="left" vertical="center" indent="1"/>
    </xf>
    <xf numFmtId="0" fontId="2" fillId="2" borderId="33" xfId="0" applyFont="1" applyFill="1" applyBorder="1" applyAlignment="1">
      <alignment horizontal="left" vertical="center" indent="1"/>
    </xf>
    <xf numFmtId="0" fontId="2" fillId="2" borderId="31" xfId="0" applyFont="1" applyFill="1" applyBorder="1" applyAlignment="1">
      <alignment vertical="center"/>
    </xf>
    <xf numFmtId="0" fontId="2" fillId="2" borderId="32" xfId="0" applyFont="1" applyFill="1" applyBorder="1" applyAlignment="1">
      <alignment vertical="center"/>
    </xf>
    <xf numFmtId="0" fontId="5" fillId="0" borderId="30" xfId="0" applyFont="1" applyBorder="1" applyAlignment="1">
      <alignment vertical="center"/>
    </xf>
    <xf numFmtId="0" fontId="5" fillId="0" borderId="21" xfId="0" quotePrefix="1" applyFont="1" applyBorder="1" applyAlignment="1">
      <alignment horizontal="left" vertical="center" indent="1"/>
    </xf>
    <xf numFmtId="0" fontId="7" fillId="0" borderId="22" xfId="0" applyFont="1" applyBorder="1" applyAlignment="1">
      <alignment horizontal="left" vertical="center" indent="1"/>
    </xf>
    <xf numFmtId="0" fontId="7" fillId="0" borderId="23" xfId="0" applyFont="1" applyBorder="1" applyAlignment="1">
      <alignment horizontal="left" vertical="center" indent="1"/>
    </xf>
    <xf numFmtId="0" fontId="7" fillId="0" borderId="24" xfId="0" applyFont="1" applyBorder="1" applyAlignment="1">
      <alignment horizontal="left" vertical="center" indent="1"/>
    </xf>
    <xf numFmtId="0" fontId="19" fillId="0" borderId="8" xfId="0" applyFont="1" applyBorder="1" applyAlignment="1">
      <alignment horizontal="left" vertical="center" indent="1"/>
    </xf>
    <xf numFmtId="0" fontId="19" fillId="0" borderId="9" xfId="0" applyFont="1" applyBorder="1" applyAlignment="1">
      <alignment horizontal="left" vertical="center" indent="1"/>
    </xf>
    <xf numFmtId="0" fontId="2" fillId="0" borderId="0" xfId="0" applyFont="1" applyAlignment="1">
      <alignment horizontal="left" vertical="center" indent="1"/>
    </xf>
    <xf numFmtId="1" fontId="26" fillId="0" borderId="0" xfId="0" applyNumberFormat="1" applyFont="1"/>
    <xf numFmtId="0" fontId="19" fillId="0" borderId="7" xfId="0" applyFont="1" applyBorder="1" applyAlignment="1">
      <alignment vertical="center"/>
    </xf>
    <xf numFmtId="0" fontId="26" fillId="0" borderId="0" xfId="0" applyFont="1"/>
    <xf numFmtId="0" fontId="29" fillId="2" borderId="0" xfId="0" applyFont="1" applyFill="1"/>
    <xf numFmtId="171" fontId="29" fillId="2" borderId="0" xfId="0" applyNumberFormat="1" applyFont="1" applyFill="1"/>
    <xf numFmtId="0" fontId="3" fillId="0" borderId="0" xfId="0" applyFont="1" applyAlignment="1">
      <alignment horizontal="center"/>
    </xf>
    <xf numFmtId="1" fontId="3" fillId="0" borderId="0" xfId="0" applyNumberFormat="1" applyFont="1" applyAlignment="1">
      <alignment horizontal="center"/>
    </xf>
    <xf numFmtId="14" fontId="0" fillId="0" borderId="0" xfId="0" quotePrefix="1" applyNumberFormat="1"/>
    <xf numFmtId="0" fontId="2" fillId="2" borderId="0" xfId="0" applyFont="1" applyFill="1" applyAlignment="1">
      <alignment horizontal="left" vertical="center" indent="1"/>
    </xf>
    <xf numFmtId="0" fontId="3" fillId="3" borderId="0" xfId="0" applyFont="1" applyFill="1" applyAlignment="1">
      <alignment horizontal="center" vertical="center"/>
    </xf>
    <xf numFmtId="0" fontId="31" fillId="0" borderId="1" xfId="2" applyFont="1" applyBorder="1"/>
    <xf numFmtId="178" fontId="31" fillId="0" borderId="1" xfId="2" applyNumberFormat="1" applyFont="1" applyBorder="1"/>
    <xf numFmtId="8" fontId="0" fillId="0" borderId="0" xfId="0" applyNumberFormat="1"/>
    <xf numFmtId="0" fontId="2" fillId="2" borderId="2" xfId="0" applyFont="1" applyFill="1" applyBorder="1" applyAlignment="1">
      <alignment horizontal="left" vertical="center" indent="1"/>
    </xf>
    <xf numFmtId="0" fontId="2" fillId="2" borderId="3" xfId="0" applyFont="1" applyFill="1" applyBorder="1" applyAlignment="1">
      <alignment horizontal="left" vertical="center" indent="1"/>
    </xf>
    <xf numFmtId="0" fontId="2" fillId="2" borderId="4" xfId="0" applyFont="1" applyFill="1" applyBorder="1" applyAlignment="1">
      <alignment horizontal="left" vertical="center" indent="1"/>
    </xf>
    <xf numFmtId="0" fontId="31" fillId="0" borderId="5" xfId="2" applyFont="1" applyBorder="1"/>
    <xf numFmtId="0" fontId="0" fillId="0" borderId="6" xfId="0" applyBorder="1"/>
    <xf numFmtId="0" fontId="31" fillId="0" borderId="7" xfId="2" applyFont="1" applyBorder="1"/>
    <xf numFmtId="0" fontId="31" fillId="0" borderId="8" xfId="2" applyFont="1" applyBorder="1"/>
    <xf numFmtId="178" fontId="31" fillId="0" borderId="8" xfId="2" applyNumberFormat="1" applyFont="1" applyBorder="1"/>
    <xf numFmtId="0" fontId="0" fillId="0" borderId="9" xfId="0" applyBorder="1"/>
    <xf numFmtId="0" fontId="0" fillId="0" borderId="0" xfId="0" applyAlignment="1">
      <alignment horizontal="left" vertical="center"/>
    </xf>
    <xf numFmtId="0" fontId="2" fillId="14" borderId="0" xfId="0" applyFont="1" applyFill="1" applyAlignment="1">
      <alignment horizontal="left" vertical="center"/>
    </xf>
    <xf numFmtId="0" fontId="20" fillId="0" borderId="0" xfId="0" quotePrefix="1" applyFont="1" applyAlignment="1">
      <alignment horizontal="center" vertical="center"/>
    </xf>
    <xf numFmtId="168" fontId="20" fillId="0" borderId="0" xfId="1" quotePrefix="1" applyNumberFormat="1" applyFont="1" applyAlignment="1">
      <alignment horizontal="center" vertical="center"/>
    </xf>
    <xf numFmtId="2" fontId="20" fillId="0" borderId="0" xfId="0" quotePrefix="1" applyNumberFormat="1" applyFont="1" applyAlignment="1">
      <alignment horizontal="center" vertical="center"/>
    </xf>
    <xf numFmtId="0" fontId="20" fillId="0" borderId="0" xfId="0" applyFont="1" applyAlignment="1">
      <alignment horizontal="right" vertical="center" indent="1"/>
    </xf>
    <xf numFmtId="0" fontId="12" fillId="8" borderId="0" xfId="0" applyFont="1" applyFill="1" applyAlignment="1">
      <alignment horizontal="left"/>
    </xf>
    <xf numFmtId="0" fontId="2" fillId="2" borderId="31" xfId="0" applyFont="1" applyFill="1" applyBorder="1" applyAlignment="1">
      <alignment horizontal="center" vertical="center"/>
    </xf>
    <xf numFmtId="0" fontId="2" fillId="2" borderId="33" xfId="0" applyFont="1" applyFill="1" applyBorder="1" applyAlignment="1">
      <alignment horizontal="center" vertical="center"/>
    </xf>
    <xf numFmtId="0" fontId="27" fillId="4" borderId="11" xfId="0" applyFont="1" applyFill="1" applyBorder="1" applyAlignment="1">
      <alignment horizontal="center" vertical="center" wrapText="1"/>
    </xf>
    <xf numFmtId="0" fontId="27" fillId="4" borderId="13" xfId="0" applyFont="1" applyFill="1" applyBorder="1" applyAlignment="1">
      <alignment horizontal="center" vertical="center" wrapText="1"/>
    </xf>
    <xf numFmtId="0" fontId="2" fillId="2" borderId="10" xfId="0" applyFont="1" applyFill="1" applyBorder="1" applyAlignment="1">
      <alignment horizontal="center" vertical="center"/>
    </xf>
    <xf numFmtId="1" fontId="28" fillId="4" borderId="11" xfId="0" applyNumberFormat="1" applyFont="1" applyFill="1" applyBorder="1" applyAlignment="1">
      <alignment horizontal="center" vertical="center" wrapText="1"/>
    </xf>
    <xf numFmtId="1" fontId="28" fillId="4" borderId="13" xfId="0" applyNumberFormat="1" applyFont="1" applyFill="1" applyBorder="1" applyAlignment="1">
      <alignment horizontal="center" vertical="center" wrapText="1"/>
    </xf>
    <xf numFmtId="0" fontId="28" fillId="4" borderId="11" xfId="0" applyFont="1" applyFill="1" applyBorder="1" applyAlignment="1">
      <alignment horizontal="center" vertical="center" wrapText="1"/>
    </xf>
    <xf numFmtId="0" fontId="28" fillId="4" borderId="13" xfId="0" applyFont="1" applyFill="1" applyBorder="1" applyAlignment="1">
      <alignment horizontal="center" vertical="center" wrapText="1"/>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3" fillId="0" borderId="0" xfId="0" applyFont="1" applyBorder="1"/>
    <xf numFmtId="0" fontId="0" fillId="0" borderId="0" xfId="0" applyBorder="1"/>
    <xf numFmtId="0" fontId="11" fillId="0" borderId="0" xfId="0" applyFont="1" applyBorder="1"/>
  </cellXfs>
  <cellStyles count="3">
    <cellStyle name="Comma" xfId="1" builtinId="3"/>
    <cellStyle name="Normal" xfId="0" builtinId="0"/>
    <cellStyle name="Normal 2" xfId="2" xr:uid="{379F1F81-3934-402A-BD62-CE098DD1F84F}"/>
  </cellStyles>
  <dxfs count="13">
    <dxf>
      <numFmt numFmtId="175" formatCode="[$$-409]#,##0"/>
    </dxf>
    <dxf>
      <numFmt numFmtId="175" formatCode="[$$-409]#,##0"/>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4" formatCode="[$$-409]#,##0.00_ ;\-[$$-409]#,##0.00\ "/>
      <fill>
        <patternFill patternType="none">
          <fgColor indexed="64"/>
          <bgColor indexed="65"/>
        </patternFill>
      </fill>
    </dxf>
    <dxf>
      <numFmt numFmtId="174" formatCode="[$$-409]#,##0.00_ ;\-[$$-409]#,##0.00\ "/>
      <fill>
        <patternFill patternType="none">
          <fgColor indexed="64"/>
          <bgColor auto="1"/>
        </patternFill>
      </fill>
    </dxf>
    <dxf>
      <numFmt numFmtId="171" formatCode="m/d/yy;@"/>
    </dxf>
    <dxf>
      <numFmt numFmtId="171" formatCode="m/d/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strike val="0"/>
        <outline val="0"/>
        <shadow val="0"/>
        <u val="none"/>
        <vertAlign val="baseline"/>
        <sz val="11"/>
        <color theme="0"/>
        <name val="Calibri"/>
        <family val="2"/>
        <scheme val="minor"/>
      </font>
      <fill>
        <patternFill patternType="solid">
          <fgColor indexed="64"/>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488258</xdr:colOff>
      <xdr:row>2</xdr:row>
      <xdr:rowOff>65432</xdr:rowOff>
    </xdr:from>
    <xdr:to>
      <xdr:col>21</xdr:col>
      <xdr:colOff>37270</xdr:colOff>
      <xdr:row>26</xdr:row>
      <xdr:rowOff>55907</xdr:rowOff>
    </xdr:to>
    <xdr:sp macro="" textlink="">
      <xdr:nvSpPr>
        <xdr:cNvPr id="2" name="TextBox 1">
          <a:extLst>
            <a:ext uri="{FF2B5EF4-FFF2-40B4-BE49-F238E27FC236}">
              <a16:creationId xmlns:a16="http://schemas.microsoft.com/office/drawing/2014/main" id="{B039AD73-75BC-2F05-83AE-4820CFB23A31}"/>
            </a:ext>
          </a:extLst>
        </xdr:cNvPr>
        <xdr:cNvSpPr txBox="1"/>
      </xdr:nvSpPr>
      <xdr:spPr>
        <a:xfrm>
          <a:off x="488258" y="446432"/>
          <a:ext cx="12420186" cy="4562475"/>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endParaRPr lang="en-US" sz="3600" b="1"/>
        </a:p>
        <a:p>
          <a:pPr algn="ctr"/>
          <a:r>
            <a:rPr lang="en-US" sz="3600" b="1"/>
            <a:t>MODULE 2 - Intermediate to Advance Excel 1</a:t>
          </a:r>
        </a:p>
        <a:p>
          <a:pPr algn="ctr"/>
          <a:endParaRPr lang="en-US" sz="3600" b="1"/>
        </a:p>
        <a:p>
          <a:pPr algn="ctr"/>
          <a:r>
            <a:rPr lang="en-US" sz="3600" b="1"/>
            <a:t>Module 2 Activity</a:t>
          </a:r>
          <a:r>
            <a:rPr lang="en-US" sz="3600" b="1" baseline="0"/>
            <a:t> 2</a:t>
          </a:r>
          <a:br>
            <a:rPr lang="en-US" sz="3600" b="1" baseline="0"/>
          </a:br>
          <a:r>
            <a:rPr lang="en-US" sz="3600" b="1" baseline="0"/>
            <a:t>Passcode: </a:t>
          </a:r>
          <a:r>
            <a:rPr lang="en-US" sz="3200" b="1">
              <a:solidFill>
                <a:schemeClr val="dk1"/>
              </a:solidFill>
              <a:effectLst/>
              <a:latin typeface="+mn-lt"/>
              <a:ea typeface="+mn-ea"/>
              <a:cs typeface="+mn-cs"/>
            </a:rPr>
            <a:t>863332</a:t>
          </a:r>
          <a:br>
            <a:rPr lang="en-US" sz="3600" b="1">
              <a:solidFill>
                <a:schemeClr val="dk1"/>
              </a:solidFill>
              <a:effectLst/>
              <a:latin typeface="+mn-lt"/>
              <a:ea typeface="+mn-ea"/>
              <a:cs typeface="+mn-cs"/>
            </a:rPr>
          </a:br>
          <a:r>
            <a:rPr lang="en-US" sz="3600" b="1">
              <a:solidFill>
                <a:schemeClr val="dk1"/>
              </a:solidFill>
              <a:effectLst/>
              <a:latin typeface="+mn-lt"/>
              <a:ea typeface="+mn-ea"/>
              <a:cs typeface="+mn-cs"/>
            </a:rPr>
            <a:t>Batch</a:t>
          </a:r>
          <a:r>
            <a:rPr lang="en-US" sz="3600" b="1" baseline="0">
              <a:solidFill>
                <a:schemeClr val="dk1"/>
              </a:solidFill>
              <a:effectLst/>
              <a:latin typeface="+mn-lt"/>
              <a:ea typeface="+mn-ea"/>
              <a:cs typeface="+mn-cs"/>
            </a:rPr>
            <a:t> September 20</a:t>
          </a:r>
          <a:br>
            <a:rPr lang="en-US" sz="3600" b="1"/>
          </a:br>
          <a:br>
            <a:rPr lang="en-US" sz="3600" b="1"/>
          </a:br>
          <a:r>
            <a:rPr lang="en-US" sz="2800" b="1"/>
            <a:t>NOTE:</a:t>
          </a:r>
          <a:r>
            <a:rPr lang="en-US" sz="2800" b="1" baseline="0"/>
            <a:t> </a:t>
          </a:r>
          <a:r>
            <a:rPr lang="en-US" sz="2400" b="1"/>
            <a:t>Download</a:t>
          </a:r>
          <a:r>
            <a:rPr lang="en-US" sz="2400" b="1" baseline="0"/>
            <a:t> your modules sent by Sir Errol. Thanks</a:t>
          </a:r>
          <a:endParaRPr lang="en-US" sz="3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61344</xdr:colOff>
      <xdr:row>0</xdr:row>
      <xdr:rowOff>42449</xdr:rowOff>
    </xdr:from>
    <xdr:to>
      <xdr:col>5</xdr:col>
      <xdr:colOff>160734</xdr:colOff>
      <xdr:row>22</xdr:row>
      <xdr:rowOff>184547</xdr:rowOff>
    </xdr:to>
    <xdr:sp macro="" textlink="">
      <xdr:nvSpPr>
        <xdr:cNvPr id="2" name="TextBox 1">
          <a:extLst>
            <a:ext uri="{FF2B5EF4-FFF2-40B4-BE49-F238E27FC236}">
              <a16:creationId xmlns:a16="http://schemas.microsoft.com/office/drawing/2014/main" id="{637436A0-BA73-FFDC-14A0-A67C2EBBF70C}"/>
            </a:ext>
          </a:extLst>
        </xdr:cNvPr>
        <xdr:cNvSpPr txBox="1"/>
      </xdr:nvSpPr>
      <xdr:spPr>
        <a:xfrm>
          <a:off x="61344" y="42449"/>
          <a:ext cx="3510531" cy="433309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mn-lt"/>
              <a:ea typeface="+mn-ea"/>
              <a:cs typeface="+mn-cs"/>
            </a:rPr>
            <a:t>CELL, RELATIVE,</a:t>
          </a:r>
          <a:r>
            <a:rPr lang="en-US" sz="1100" b="1" i="0" u="sng" baseline="0">
              <a:solidFill>
                <a:schemeClr val="dk1"/>
              </a:solidFill>
              <a:effectLst/>
              <a:latin typeface="+mn-lt"/>
              <a:ea typeface="+mn-ea"/>
              <a:cs typeface="+mn-cs"/>
            </a:rPr>
            <a:t> ABSOLUTE, MIXED/MULTIPLE &amp; 3D REFERENCES</a:t>
          </a:r>
          <a:br>
            <a:rPr lang="en-US" sz="1100" b="1" i="0" u="sng">
              <a:solidFill>
                <a:schemeClr val="dk1"/>
              </a:solidFill>
              <a:effectLst/>
              <a:latin typeface="+mn-lt"/>
              <a:ea typeface="+mn-ea"/>
              <a:cs typeface="+mn-cs"/>
            </a:rPr>
          </a:br>
          <a:br>
            <a:rPr lang="en-US" sz="1100" b="1" i="0" u="sng">
              <a:solidFill>
                <a:schemeClr val="dk1"/>
              </a:solidFill>
              <a:effectLst/>
              <a:latin typeface="+mn-lt"/>
              <a:ea typeface="+mn-ea"/>
              <a:cs typeface="+mn-cs"/>
            </a:rPr>
          </a:br>
          <a:r>
            <a:rPr lang="en-US" sz="1100" b="0" i="0">
              <a:solidFill>
                <a:schemeClr val="dk1"/>
              </a:solidFill>
              <a:effectLst/>
              <a:latin typeface="+mn-lt"/>
              <a:ea typeface="+mn-ea"/>
              <a:cs typeface="+mn-cs"/>
            </a:rPr>
            <a:t>A</a:t>
          </a:r>
          <a:r>
            <a:rPr lang="en-US" sz="1100" b="1" i="0">
              <a:solidFill>
                <a:schemeClr val="dk1"/>
              </a:solidFill>
              <a:effectLst/>
              <a:latin typeface="+mn-lt"/>
              <a:ea typeface="+mn-ea"/>
              <a:cs typeface="+mn-cs"/>
            </a:rPr>
            <a:t> cell reference </a:t>
          </a:r>
          <a:r>
            <a:rPr lang="en-US" sz="1100" b="0" i="0">
              <a:solidFill>
                <a:schemeClr val="dk1"/>
              </a:solidFill>
              <a:effectLst/>
              <a:latin typeface="+mn-lt"/>
              <a:ea typeface="+mn-ea"/>
              <a:cs typeface="+mn-cs"/>
            </a:rPr>
            <a:t>or cell address is a combination of a column letter and a row number that identifies a cell on a worksheet. For example, A1 refers to the cell at the intersection of column A and row 1</a:t>
          </a:r>
          <a:endParaRPr lang="en-US" sz="1100" b="1"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Relative references </a:t>
          </a:r>
          <a:r>
            <a:rPr lang="en-US" sz="1100" b="0" i="0">
              <a:solidFill>
                <a:schemeClr val="dk1"/>
              </a:solidFill>
              <a:effectLst/>
              <a:latin typeface="+mn-lt"/>
              <a:ea typeface="+mn-ea"/>
              <a:cs typeface="+mn-cs"/>
            </a:rPr>
            <a:t>change when a formula is copied to another cell. </a:t>
          </a:r>
          <a:r>
            <a:rPr lang="en-US" sz="1100" b="1" i="0">
              <a:solidFill>
                <a:schemeClr val="dk1"/>
              </a:solidFill>
              <a:effectLst/>
              <a:latin typeface="+mn-lt"/>
              <a:ea typeface="+mn-ea"/>
              <a:cs typeface="+mn-cs"/>
            </a:rPr>
            <a:t>Absolute references</a:t>
          </a:r>
          <a:r>
            <a:rPr lang="en-US" sz="1100" b="0" i="0">
              <a:solidFill>
                <a:schemeClr val="dk1"/>
              </a:solidFill>
              <a:effectLst/>
              <a:latin typeface="+mn-lt"/>
              <a:ea typeface="+mn-ea"/>
              <a:cs typeface="+mn-cs"/>
            </a:rPr>
            <a:t>, on the other hand, remain constant no matter where they are copied.</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Multiple/Mixed Reference</a:t>
          </a:r>
        </a:p>
        <a:p>
          <a:r>
            <a:rPr lang="en-US" sz="1100" b="0" i="0">
              <a:solidFill>
                <a:schemeClr val="dk1"/>
              </a:solidFill>
              <a:effectLst/>
              <a:latin typeface="+mn-lt"/>
              <a:ea typeface="+mn-ea"/>
              <a:cs typeface="+mn-cs"/>
            </a:rPr>
            <a:t>Excel is capable of completing complex calculations relatively quickly. Most of the time, your calculations in Excel will involve using multiple pieces of data for each calculation. In order to do this, you will need to be able to reference multiple cells at the same time</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3D references</a:t>
          </a:r>
        </a:p>
        <a:p>
          <a:r>
            <a:rPr lang="en-US" sz="1100" b="0" i="0">
              <a:solidFill>
                <a:schemeClr val="dk1"/>
              </a:solidFill>
              <a:effectLst/>
              <a:latin typeface="+mn-lt"/>
              <a:ea typeface="+mn-ea"/>
              <a:cs typeface="+mn-cs"/>
            </a:rPr>
            <a:t>A reference that refers to the same cell or range on multiple worksheets is called a 3D reference. Using 3D formulas allows you to calculate data throughout a workbook using multiple worksheets.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24701</xdr:colOff>
      <xdr:row>0</xdr:row>
      <xdr:rowOff>32656</xdr:rowOff>
    </xdr:from>
    <xdr:to>
      <xdr:col>1</xdr:col>
      <xdr:colOff>327422</xdr:colOff>
      <xdr:row>8</xdr:row>
      <xdr:rowOff>160734</xdr:rowOff>
    </xdr:to>
    <xdr:sp macro="" textlink="">
      <xdr:nvSpPr>
        <xdr:cNvPr id="2" name="TextBox 1">
          <a:extLst>
            <a:ext uri="{FF2B5EF4-FFF2-40B4-BE49-F238E27FC236}">
              <a16:creationId xmlns:a16="http://schemas.microsoft.com/office/drawing/2014/main" id="{49F63847-6161-4201-9349-60863D3804DB}"/>
            </a:ext>
          </a:extLst>
        </xdr:cNvPr>
        <xdr:cNvSpPr txBox="1"/>
      </xdr:nvSpPr>
      <xdr:spPr>
        <a:xfrm>
          <a:off x="24701" y="32656"/>
          <a:ext cx="2683971" cy="165207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sng">
              <a:solidFill>
                <a:schemeClr val="dk1"/>
              </a:solidFill>
              <a:effectLst/>
              <a:latin typeface="+mn-lt"/>
              <a:ea typeface="+mn-ea"/>
              <a:cs typeface="+mn-cs"/>
            </a:rPr>
            <a:t>NAME RANGES</a:t>
          </a:r>
        </a:p>
        <a:p>
          <a:endParaRPr lang="en-US" sz="1200" b="1" i="0">
            <a:solidFill>
              <a:schemeClr val="dk1"/>
            </a:solidFill>
            <a:effectLst/>
            <a:latin typeface="+mn-lt"/>
            <a:ea typeface="+mn-ea"/>
            <a:cs typeface="+mn-cs"/>
          </a:endParaRPr>
        </a:p>
        <a:p>
          <a:r>
            <a:rPr lang="en-US" sz="1200" b="1" i="0">
              <a:solidFill>
                <a:schemeClr val="dk1"/>
              </a:solidFill>
              <a:effectLst/>
              <a:latin typeface="+mn-lt"/>
              <a:ea typeface="+mn-ea"/>
              <a:cs typeface="+mn-cs"/>
            </a:rPr>
            <a:t>Named Ranges</a:t>
          </a:r>
          <a:r>
            <a:rPr lang="en-US" sz="1200" b="1" i="0" baseline="0">
              <a:solidFill>
                <a:schemeClr val="dk1"/>
              </a:solidFill>
              <a:effectLst/>
              <a:latin typeface="+mn-lt"/>
              <a:ea typeface="+mn-ea"/>
              <a:cs typeface="+mn-cs"/>
            </a:rPr>
            <a:t> </a:t>
          </a:r>
          <a:r>
            <a:rPr lang="en-US" sz="1200" b="0" i="0" baseline="0">
              <a:solidFill>
                <a:schemeClr val="dk1"/>
              </a:solidFill>
              <a:effectLst/>
              <a:latin typeface="+mn-lt"/>
              <a:ea typeface="+mn-ea"/>
              <a:cs typeface="+mn-cs"/>
            </a:rPr>
            <a:t>are </a:t>
          </a:r>
          <a:r>
            <a:rPr lang="en-US" sz="1200" b="0" i="0">
              <a:solidFill>
                <a:schemeClr val="dk1"/>
              </a:solidFill>
              <a:effectLst/>
              <a:latin typeface="+mn-lt"/>
              <a:ea typeface="+mn-ea"/>
              <a:cs typeface="+mn-cs"/>
            </a:rPr>
            <a:t>names that refers to a single cell, range of cells, constant value, or formula. For example, when you define a name for a range of cells, it's called a named range, or defined range.</a:t>
          </a:r>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74475</xdr:colOff>
      <xdr:row>0</xdr:row>
      <xdr:rowOff>79773</xdr:rowOff>
    </xdr:from>
    <xdr:to>
      <xdr:col>0</xdr:col>
      <xdr:colOff>2553891</xdr:colOff>
      <xdr:row>10</xdr:row>
      <xdr:rowOff>65483</xdr:rowOff>
    </xdr:to>
    <xdr:sp macro="" textlink="">
      <xdr:nvSpPr>
        <xdr:cNvPr id="2" name="TextBox 1">
          <a:extLst>
            <a:ext uri="{FF2B5EF4-FFF2-40B4-BE49-F238E27FC236}">
              <a16:creationId xmlns:a16="http://schemas.microsoft.com/office/drawing/2014/main" id="{E03088C1-ACB5-B48E-4E5E-88F0B19E368E}"/>
            </a:ext>
          </a:extLst>
        </xdr:cNvPr>
        <xdr:cNvSpPr txBox="1"/>
      </xdr:nvSpPr>
      <xdr:spPr>
        <a:xfrm>
          <a:off x="74475" y="79773"/>
          <a:ext cx="2479416" cy="192642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mn-lt"/>
              <a:ea typeface="+mn-ea"/>
              <a:cs typeface="+mn-cs"/>
            </a:rPr>
            <a:t>ADVANCED FORMATTING</a:t>
          </a: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r>
            <a:rPr lang="en-US" sz="1100" b="1" i="0">
              <a:solidFill>
                <a:schemeClr val="dk1"/>
              </a:solidFill>
              <a:effectLst/>
              <a:latin typeface="+mn-lt"/>
              <a:ea typeface="+mn-ea"/>
              <a:cs typeface="+mn-cs"/>
            </a:rPr>
            <a:t>Formatting text or numbers </a:t>
          </a:r>
          <a:r>
            <a:rPr lang="en-US" sz="1100" b="0" i="0">
              <a:solidFill>
                <a:schemeClr val="dk1"/>
              </a:solidFill>
              <a:effectLst/>
              <a:latin typeface="+mn-lt"/>
              <a:ea typeface="+mn-ea"/>
              <a:cs typeface="+mn-cs"/>
            </a:rPr>
            <a:t>can make them appear more visible especially when you have a large worksheet.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Changing default formats includes things like changing the font color, style, size, text alignment in a cell, or apply formatting effects.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0</xdr:row>
      <xdr:rowOff>59537</xdr:rowOff>
    </xdr:from>
    <xdr:to>
      <xdr:col>1</xdr:col>
      <xdr:colOff>1291828</xdr:colOff>
      <xdr:row>10</xdr:row>
      <xdr:rowOff>154781</xdr:rowOff>
    </xdr:to>
    <xdr:sp macro="" textlink="">
      <xdr:nvSpPr>
        <xdr:cNvPr id="2" name="TextBox 1">
          <a:extLst>
            <a:ext uri="{FF2B5EF4-FFF2-40B4-BE49-F238E27FC236}">
              <a16:creationId xmlns:a16="http://schemas.microsoft.com/office/drawing/2014/main" id="{C7F1F682-752F-4F2B-8C8A-7C13F5F40BDA}"/>
            </a:ext>
          </a:extLst>
        </xdr:cNvPr>
        <xdr:cNvSpPr txBox="1"/>
      </xdr:nvSpPr>
      <xdr:spPr>
        <a:xfrm>
          <a:off x="47625" y="59537"/>
          <a:ext cx="2708672" cy="200024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a:solidFill>
                <a:schemeClr val="dk1"/>
              </a:solidFill>
              <a:effectLst/>
              <a:latin typeface="+mn-lt"/>
              <a:ea typeface="+mn-ea"/>
              <a:cs typeface="+mn-cs"/>
            </a:rPr>
            <a:t>WORKING WITH IMAGES</a:t>
          </a:r>
          <a:br>
            <a:rPr lang="en-US" sz="1200" b="0" i="0">
              <a:solidFill>
                <a:schemeClr val="dk1"/>
              </a:solidFill>
              <a:effectLst/>
              <a:latin typeface="+mn-lt"/>
              <a:ea typeface="+mn-ea"/>
              <a:cs typeface="+mn-cs"/>
            </a:rPr>
          </a:br>
          <a:br>
            <a:rPr lang="en-US" sz="1200" b="0" i="0">
              <a:solidFill>
                <a:schemeClr val="dk1"/>
              </a:solidFill>
              <a:effectLst/>
              <a:latin typeface="+mn-lt"/>
              <a:ea typeface="+mn-ea"/>
              <a:cs typeface="+mn-cs"/>
            </a:rPr>
          </a:br>
          <a:r>
            <a:rPr lang="en-US" sz="1200" b="0" i="0">
              <a:solidFill>
                <a:schemeClr val="dk1"/>
              </a:solidFill>
              <a:effectLst/>
              <a:latin typeface="+mn-lt"/>
              <a:ea typeface="+mn-ea"/>
              <a:cs typeface="+mn-cs"/>
            </a:rPr>
            <a:t>Excel gives you the tools to format images in a variety of ways. You can add shading, framing, colored borders, picture effects, bring the image to the front of the text or put it in the background, resize, and rotate your image.</a:t>
          </a:r>
          <a:endParaRPr lang="en-US" sz="1200"/>
        </a:p>
      </xdr:txBody>
    </xdr:sp>
    <xdr:clientData/>
  </xdr:twoCellAnchor>
  <xdr:oneCellAnchor>
    <xdr:from>
      <xdr:col>4</xdr:col>
      <xdr:colOff>870586</xdr:colOff>
      <xdr:row>6</xdr:row>
      <xdr:rowOff>34223</xdr:rowOff>
    </xdr:from>
    <xdr:ext cx="4380069" cy="468013"/>
    <xdr:sp macro="" textlink="">
      <xdr:nvSpPr>
        <xdr:cNvPr id="5" name="Rectangle 4">
          <a:extLst>
            <a:ext uri="{FF2B5EF4-FFF2-40B4-BE49-F238E27FC236}">
              <a16:creationId xmlns:a16="http://schemas.microsoft.com/office/drawing/2014/main" id="{620B01B8-D607-4940-602D-566A7CA85824}"/>
            </a:ext>
          </a:extLst>
        </xdr:cNvPr>
        <xdr:cNvSpPr/>
      </xdr:nvSpPr>
      <xdr:spPr>
        <a:xfrm>
          <a:off x="6389133" y="1177223"/>
          <a:ext cx="4380069" cy="468013"/>
        </a:xfrm>
        <a:prstGeom prst="rect">
          <a:avLst/>
        </a:prstGeom>
        <a:noFill/>
      </xdr:spPr>
      <xdr:txBody>
        <a:bodyPr wrap="square" lIns="91440" tIns="45720" rIns="91440" bIns="45720">
          <a:spAutoFit/>
        </a:bodyPr>
        <a:lstStyle/>
        <a:p>
          <a:pPr algn="ctr"/>
          <a:endParaRPr lang="en-US" sz="2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95251</xdr:colOff>
      <xdr:row>0</xdr:row>
      <xdr:rowOff>40300</xdr:rowOff>
    </xdr:from>
    <xdr:to>
      <xdr:col>1</xdr:col>
      <xdr:colOff>926224</xdr:colOff>
      <xdr:row>9</xdr:row>
      <xdr:rowOff>157655</xdr:rowOff>
    </xdr:to>
    <xdr:sp macro="" textlink="">
      <xdr:nvSpPr>
        <xdr:cNvPr id="2" name="TextBox 1">
          <a:extLst>
            <a:ext uri="{FF2B5EF4-FFF2-40B4-BE49-F238E27FC236}">
              <a16:creationId xmlns:a16="http://schemas.microsoft.com/office/drawing/2014/main" id="{15AA29B9-8A5B-1981-38BF-F94C739BE344}"/>
            </a:ext>
          </a:extLst>
        </xdr:cNvPr>
        <xdr:cNvSpPr txBox="1"/>
      </xdr:nvSpPr>
      <xdr:spPr>
        <a:xfrm>
          <a:off x="95251" y="40300"/>
          <a:ext cx="2657145" cy="184499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sng">
              <a:solidFill>
                <a:schemeClr val="dk1"/>
              </a:solidFill>
              <a:effectLst/>
              <a:latin typeface="+mn-lt"/>
              <a:ea typeface="+mn-ea"/>
              <a:cs typeface="+mn-cs"/>
            </a:rPr>
            <a:t>DATA</a:t>
          </a:r>
          <a:r>
            <a:rPr lang="en-US" sz="1200" b="1" i="0" u="sng" baseline="0">
              <a:solidFill>
                <a:schemeClr val="dk1"/>
              </a:solidFill>
              <a:effectLst/>
              <a:latin typeface="+mn-lt"/>
              <a:ea typeface="+mn-ea"/>
              <a:cs typeface="+mn-cs"/>
            </a:rPr>
            <a:t> TOOLS</a:t>
          </a:r>
          <a:br>
            <a:rPr lang="en-US" sz="1200" b="0" i="0">
              <a:solidFill>
                <a:schemeClr val="dk1"/>
              </a:solidFill>
              <a:effectLst/>
              <a:latin typeface="+mn-lt"/>
              <a:ea typeface="+mn-ea"/>
              <a:cs typeface="+mn-cs"/>
            </a:rPr>
          </a:br>
          <a:br>
            <a:rPr lang="en-US" sz="1200" b="0" i="0">
              <a:solidFill>
                <a:schemeClr val="dk1"/>
              </a:solidFill>
              <a:effectLst/>
              <a:latin typeface="+mn-lt"/>
              <a:ea typeface="+mn-ea"/>
              <a:cs typeface="+mn-cs"/>
            </a:rPr>
          </a:br>
          <a:r>
            <a:rPr lang="en-US" sz="1200" b="1" i="0">
              <a:solidFill>
                <a:schemeClr val="dk1"/>
              </a:solidFill>
              <a:effectLst/>
              <a:latin typeface="+mn-lt"/>
              <a:ea typeface="+mn-ea"/>
              <a:cs typeface="+mn-cs"/>
            </a:rPr>
            <a:t>Data Tool</a:t>
          </a:r>
          <a:r>
            <a:rPr lang="en-US" sz="1200" b="0" i="0">
              <a:solidFill>
                <a:schemeClr val="dk1"/>
              </a:solidFill>
              <a:effectLst/>
              <a:latin typeface="+mn-lt"/>
              <a:ea typeface="+mn-ea"/>
              <a:cs typeface="+mn-cs"/>
            </a:rPr>
            <a:t> is an Excel add-ins tool for reshaping and sorting data in excel and convert daily data to monthly or seasonally, and finally calculate efficiency.</a:t>
          </a:r>
          <a:r>
            <a:rPr lang="en-US" sz="1200" b="0" i="0" baseline="0">
              <a:solidFill>
                <a:schemeClr val="dk1"/>
              </a:solidFill>
              <a:effectLst/>
              <a:latin typeface="+mn-lt"/>
              <a:ea typeface="+mn-ea"/>
              <a:cs typeface="+mn-cs"/>
            </a:rPr>
            <a:t> </a:t>
          </a:r>
          <a:r>
            <a:rPr lang="en-US" sz="1200" b="0">
              <a:solidFill>
                <a:schemeClr val="dk1"/>
              </a:solidFill>
              <a:effectLst/>
              <a:latin typeface="+mn-lt"/>
              <a:ea typeface="+mn-ea"/>
              <a:cs typeface="+mn-cs"/>
            </a:rPr>
            <a:t>I</a:t>
          </a:r>
          <a:r>
            <a:rPr lang="en-US" sz="1200" b="0" baseline="0">
              <a:solidFill>
                <a:schemeClr val="dk1"/>
              </a:solidFill>
              <a:effectLst/>
              <a:latin typeface="+mn-lt"/>
              <a:ea typeface="+mn-ea"/>
              <a:cs typeface="+mn-cs"/>
            </a:rPr>
            <a:t>t can also be used for </a:t>
          </a:r>
          <a:r>
            <a:rPr lang="en-US" sz="1200" b="0">
              <a:solidFill>
                <a:schemeClr val="dk1"/>
              </a:solidFill>
              <a:effectLst/>
              <a:latin typeface="+mn-lt"/>
              <a:ea typeface="+mn-ea"/>
              <a:cs typeface="+mn-cs"/>
            </a:rPr>
            <a:t>cleaning, transforming, modeling, and statistically analyzing data.</a:t>
          </a:r>
        </a:p>
        <a:p>
          <a:pPr marL="0" marR="0" lvl="0" indent="0" defTabSz="914400" eaLnBrk="1" fontAlgn="auto" latinLnBrk="0" hangingPunct="1">
            <a:lnSpc>
              <a:spcPct val="100000"/>
            </a:lnSpc>
            <a:spcBef>
              <a:spcPts val="0"/>
            </a:spcBef>
            <a:spcAft>
              <a:spcPts val="0"/>
            </a:spcAft>
            <a:buClrTx/>
            <a:buSzTx/>
            <a:buFontTx/>
            <a:buNone/>
            <a:tabLst/>
            <a:defRPr/>
          </a:pPr>
          <a:br>
            <a:rPr lang="en-US" sz="1200"/>
          </a:br>
          <a:endParaRPr lang="en-US" sz="1200" b="1"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200" b="1"/>
        </a:p>
      </xdr:txBody>
    </xdr:sp>
    <xdr:clientData/>
  </xdr:twoCellAnchor>
  <xdr:twoCellAnchor>
    <xdr:from>
      <xdr:col>8</xdr:col>
      <xdr:colOff>91965</xdr:colOff>
      <xdr:row>0</xdr:row>
      <xdr:rowOff>72257</xdr:rowOff>
    </xdr:from>
    <xdr:to>
      <xdr:col>10</xdr:col>
      <xdr:colOff>453259</xdr:colOff>
      <xdr:row>25</xdr:row>
      <xdr:rowOff>52552</xdr:rowOff>
    </xdr:to>
    <xdr:sp macro="" textlink="">
      <xdr:nvSpPr>
        <xdr:cNvPr id="3" name="TextBox 2">
          <a:extLst>
            <a:ext uri="{FF2B5EF4-FFF2-40B4-BE49-F238E27FC236}">
              <a16:creationId xmlns:a16="http://schemas.microsoft.com/office/drawing/2014/main" id="{65FA5B14-EAA7-C8E5-357A-902A08DCEA57}"/>
            </a:ext>
          </a:extLst>
        </xdr:cNvPr>
        <xdr:cNvSpPr txBox="1"/>
      </xdr:nvSpPr>
      <xdr:spPr>
        <a:xfrm>
          <a:off x="8513379" y="72257"/>
          <a:ext cx="1635673" cy="47756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Consolidate </a:t>
          </a:r>
          <a:r>
            <a:rPr lang="en-US" sz="1100" b="0">
              <a:solidFill>
                <a:schemeClr val="dk1"/>
              </a:solidFill>
              <a:effectLst/>
              <a:latin typeface="+mn-lt"/>
              <a:ea typeface="+mn-ea"/>
              <a:cs typeface="+mn-cs"/>
            </a:rPr>
            <a:t>means combining data from multiple worksheets, ranges, or workbooks into a single summary sheet for easier analysis and reporting.</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Transpose </a:t>
          </a:r>
          <a:r>
            <a:rPr lang="en-US" sz="1100" b="0">
              <a:solidFill>
                <a:schemeClr val="dk1"/>
              </a:solidFill>
              <a:effectLst/>
              <a:latin typeface="+mn-lt"/>
              <a:ea typeface="+mn-ea"/>
              <a:cs typeface="+mn-cs"/>
            </a:rPr>
            <a:t>means to flip data so that rows become columns and columns become rows.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Text to Columns </a:t>
          </a:r>
          <a:r>
            <a:rPr lang="en-US" sz="1100" b="0">
              <a:solidFill>
                <a:schemeClr val="dk1"/>
              </a:solidFill>
              <a:effectLst/>
              <a:latin typeface="+mn-lt"/>
              <a:ea typeface="+mn-ea"/>
              <a:cs typeface="+mn-cs"/>
            </a:rPr>
            <a:t>in Excel is a feature that splits the contents of a single cell into multiple columns based on a delimiter or fixed width.</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Goal Seek </a:t>
          </a:r>
          <a:r>
            <a:rPr lang="en-US" sz="1100" b="0" i="0">
              <a:solidFill>
                <a:schemeClr val="dk1"/>
              </a:solidFill>
              <a:effectLst/>
              <a:latin typeface="+mn-lt"/>
              <a:ea typeface="+mn-ea"/>
              <a:cs typeface="+mn-cs"/>
            </a:rPr>
            <a:t>in Excel is a What-If Analysis tool that finds the input value needed to achieve a specific result in a formula.</a:t>
          </a:r>
          <a:endParaRPr lang="en-US">
            <a:effectLst/>
          </a:endParaRPr>
        </a:p>
      </xdr:txBody>
    </xdr:sp>
    <xdr:clientData/>
  </xdr:twoCellAnchor>
  <xdr:twoCellAnchor>
    <xdr:from>
      <xdr:col>2</xdr:col>
      <xdr:colOff>124811</xdr:colOff>
      <xdr:row>0</xdr:row>
      <xdr:rowOff>52552</xdr:rowOff>
    </xdr:from>
    <xdr:to>
      <xdr:col>3</xdr:col>
      <xdr:colOff>906517</xdr:colOff>
      <xdr:row>14</xdr:row>
      <xdr:rowOff>131379</xdr:rowOff>
    </xdr:to>
    <xdr:sp macro="" textlink="">
      <xdr:nvSpPr>
        <xdr:cNvPr id="4" name="TextBox 3">
          <a:extLst>
            <a:ext uri="{FF2B5EF4-FFF2-40B4-BE49-F238E27FC236}">
              <a16:creationId xmlns:a16="http://schemas.microsoft.com/office/drawing/2014/main" id="{17525EF4-BC8F-4E41-A495-B6ADDDC009A0}"/>
            </a:ext>
          </a:extLst>
        </xdr:cNvPr>
        <xdr:cNvSpPr txBox="1"/>
      </xdr:nvSpPr>
      <xdr:spPr>
        <a:xfrm>
          <a:off x="3087414" y="52552"/>
          <a:ext cx="1964120" cy="275896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Data Validation </a:t>
          </a:r>
          <a:r>
            <a:rPr lang="en-US" sz="1100" b="0" i="0">
              <a:solidFill>
                <a:schemeClr val="dk1"/>
              </a:solidFill>
              <a:effectLst/>
              <a:latin typeface="+mn-lt"/>
              <a:ea typeface="+mn-ea"/>
              <a:cs typeface="+mn-cs"/>
            </a:rPr>
            <a:t>is used to define restrictions on what data can or should be entered in a cell. If you try to enter or change data in that cell that doesn't meet those restrictions, you will see a data validation error alert.</a:t>
          </a:r>
          <a:endParaRPr lang="en-US" sz="1100"/>
        </a:p>
        <a:p>
          <a:endParaRPr lang="en-US" sz="1100"/>
        </a:p>
        <a:p>
          <a:r>
            <a:rPr lang="en-US" sz="1100" b="1">
              <a:solidFill>
                <a:schemeClr val="dk1"/>
              </a:solidFill>
              <a:effectLst/>
              <a:latin typeface="+mn-lt"/>
              <a:ea typeface="+mn-ea"/>
              <a:cs typeface="+mn-cs"/>
            </a:rPr>
            <a:t>Removing Duplicates </a:t>
          </a:r>
          <a:r>
            <a:rPr lang="en-US" sz="1100" b="0">
              <a:solidFill>
                <a:schemeClr val="dk1"/>
              </a:solidFill>
              <a:effectLst/>
              <a:latin typeface="+mn-lt"/>
              <a:ea typeface="+mn-ea"/>
              <a:cs typeface="+mn-cs"/>
            </a:rPr>
            <a:t>in Excel means keeping the first instance of a value and deleting all subsequent identical entries to maintain clean and accurate data.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58655</xdr:colOff>
      <xdr:row>0</xdr:row>
      <xdr:rowOff>63166</xdr:rowOff>
    </xdr:from>
    <xdr:to>
      <xdr:col>0</xdr:col>
      <xdr:colOff>2391277</xdr:colOff>
      <xdr:row>6</xdr:row>
      <xdr:rowOff>155408</xdr:rowOff>
    </xdr:to>
    <xdr:sp macro="" textlink="">
      <xdr:nvSpPr>
        <xdr:cNvPr id="2" name="TextBox 1">
          <a:extLst>
            <a:ext uri="{FF2B5EF4-FFF2-40B4-BE49-F238E27FC236}">
              <a16:creationId xmlns:a16="http://schemas.microsoft.com/office/drawing/2014/main" id="{80D7227D-B03D-A54C-3834-2ABE3B02C7AD}"/>
            </a:ext>
          </a:extLst>
        </xdr:cNvPr>
        <xdr:cNvSpPr txBox="1"/>
      </xdr:nvSpPr>
      <xdr:spPr>
        <a:xfrm>
          <a:off x="58655" y="63166"/>
          <a:ext cx="2332622" cy="125529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mn-lt"/>
              <a:ea typeface="+mn-ea"/>
              <a:cs typeface="+mn-cs"/>
            </a:rPr>
            <a:t>DATA VISUALIZATION</a:t>
          </a: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r>
            <a:rPr lang="en-US" sz="1100" b="1" i="0">
              <a:solidFill>
                <a:schemeClr val="dk1"/>
              </a:solidFill>
              <a:effectLst/>
              <a:latin typeface="+mn-lt"/>
              <a:ea typeface="+mn-ea"/>
              <a:cs typeface="+mn-cs"/>
            </a:rPr>
            <a:t>Charts</a:t>
          </a:r>
          <a:r>
            <a:rPr lang="en-US" sz="1100" b="0" i="0">
              <a:solidFill>
                <a:schemeClr val="dk1"/>
              </a:solidFill>
              <a:effectLst/>
              <a:latin typeface="+mn-lt"/>
              <a:ea typeface="+mn-ea"/>
              <a:cs typeface="+mn-cs"/>
            </a:rPr>
            <a:t> are visual representations of data used to make it more understandable. Commonly used charts are: </a:t>
          </a:r>
          <a:r>
            <a:rPr lang="en-US" sz="1100" b="1" i="0">
              <a:solidFill>
                <a:schemeClr val="dk1"/>
              </a:solidFill>
              <a:effectLst/>
              <a:latin typeface="+mn-lt"/>
              <a:ea typeface="+mn-ea"/>
              <a:cs typeface="+mn-cs"/>
            </a:rPr>
            <a:t>Pie chart. Column chart.</a:t>
          </a:r>
          <a:endParaRPr lang="en-US" sz="11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81642</xdr:colOff>
      <xdr:row>0</xdr:row>
      <xdr:rowOff>118380</xdr:rowOff>
    </xdr:from>
    <xdr:to>
      <xdr:col>4</xdr:col>
      <xdr:colOff>533399</xdr:colOff>
      <xdr:row>27</xdr:row>
      <xdr:rowOff>163286</xdr:rowOff>
    </xdr:to>
    <xdr:sp macro="" textlink="">
      <xdr:nvSpPr>
        <xdr:cNvPr id="2" name="TextBox 1">
          <a:extLst>
            <a:ext uri="{FF2B5EF4-FFF2-40B4-BE49-F238E27FC236}">
              <a16:creationId xmlns:a16="http://schemas.microsoft.com/office/drawing/2014/main" id="{C804E4EC-E94D-47A4-8ACE-EC52AB25F019}"/>
            </a:ext>
          </a:extLst>
        </xdr:cNvPr>
        <xdr:cNvSpPr txBox="1"/>
      </xdr:nvSpPr>
      <xdr:spPr>
        <a:xfrm>
          <a:off x="81642" y="118380"/>
          <a:ext cx="2890157" cy="537346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mn-lt"/>
              <a:ea typeface="+mn-ea"/>
              <a:cs typeface="+mn-cs"/>
            </a:rPr>
            <a:t>ADVANCED FUNCTIONS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a:t>
          </a:r>
          <a:r>
            <a:rPr lang="en-US" sz="1100" b="1" i="0">
              <a:solidFill>
                <a:schemeClr val="dk1"/>
              </a:solidFill>
              <a:effectLst/>
              <a:latin typeface="+mn-lt"/>
              <a:ea typeface="+mn-ea"/>
              <a:cs typeface="+mn-cs"/>
            </a:rPr>
            <a:t> Upper </a:t>
          </a:r>
          <a:r>
            <a:rPr lang="en-US" sz="1100" b="0" i="0">
              <a:solidFill>
                <a:schemeClr val="dk1"/>
              </a:solidFill>
              <a:effectLst/>
              <a:latin typeface="+mn-lt"/>
              <a:ea typeface="+mn-ea"/>
              <a:cs typeface="+mn-cs"/>
            </a:rPr>
            <a:t>function converts all letters to uppercase (capital letters). </a:t>
          </a:r>
        </a:p>
        <a:p>
          <a:r>
            <a:rPr lang="en-US" sz="1100" b="0" i="0">
              <a:solidFill>
                <a:schemeClr val="dk1"/>
              </a:solidFill>
              <a:effectLst/>
              <a:latin typeface="+mn-lt"/>
              <a:ea typeface="+mn-ea"/>
              <a:cs typeface="+mn-cs"/>
            </a:rPr>
            <a:t>The </a:t>
          </a:r>
          <a:r>
            <a:rPr lang="en-US" sz="1100" b="1" i="0">
              <a:solidFill>
                <a:schemeClr val="dk1"/>
              </a:solidFill>
              <a:effectLst/>
              <a:latin typeface="+mn-lt"/>
              <a:ea typeface="+mn-ea"/>
              <a:cs typeface="+mn-cs"/>
            </a:rPr>
            <a:t>Lower </a:t>
          </a:r>
          <a:r>
            <a:rPr lang="en-US" sz="1100" b="0" i="0">
              <a:solidFill>
                <a:schemeClr val="dk1"/>
              </a:solidFill>
              <a:effectLst/>
              <a:latin typeface="+mn-lt"/>
              <a:ea typeface="+mn-ea"/>
              <a:cs typeface="+mn-cs"/>
            </a:rPr>
            <a:t>function converts all letters to lowercase.</a:t>
          </a:r>
        </a:p>
        <a:p>
          <a:r>
            <a:rPr lang="en-US" sz="1100" b="0" i="0">
              <a:solidFill>
                <a:schemeClr val="dk1"/>
              </a:solidFill>
              <a:effectLst/>
              <a:latin typeface="+mn-lt"/>
              <a:ea typeface="+mn-ea"/>
              <a:cs typeface="+mn-cs"/>
            </a:rPr>
            <a:t>The </a:t>
          </a:r>
          <a:r>
            <a:rPr lang="en-US" sz="1100" b="1" i="0">
              <a:solidFill>
                <a:schemeClr val="dk1"/>
              </a:solidFill>
              <a:effectLst/>
              <a:latin typeface="+mn-lt"/>
              <a:ea typeface="+mn-ea"/>
              <a:cs typeface="+mn-cs"/>
            </a:rPr>
            <a:t>Proper </a:t>
          </a:r>
          <a:r>
            <a:rPr lang="en-US" sz="1100" b="0" i="0">
              <a:solidFill>
                <a:schemeClr val="dk1"/>
              </a:solidFill>
              <a:effectLst/>
              <a:latin typeface="+mn-lt"/>
              <a:ea typeface="+mn-ea"/>
              <a:cs typeface="+mn-cs"/>
            </a:rPr>
            <a:t>function capitalizes the first letter in each word and converts all other characters to lowercase</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Trim</a:t>
          </a:r>
          <a:r>
            <a:rPr lang="en-US" sz="1100" b="0" i="0">
              <a:solidFill>
                <a:schemeClr val="dk1"/>
              </a:solidFill>
              <a:effectLst/>
              <a:latin typeface="+mn-lt"/>
              <a:ea typeface="+mn-ea"/>
              <a:cs typeface="+mn-cs"/>
            </a:rPr>
            <a:t> - Removes all spaces from text except for single spaces between words. Use TRIM on text that you have received from another application that may have</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Len</a:t>
          </a:r>
          <a:r>
            <a:rPr lang="en-US" sz="1100" b="0" i="0">
              <a:solidFill>
                <a:schemeClr val="dk1"/>
              </a:solidFill>
              <a:effectLst/>
              <a:latin typeface="+mn-lt"/>
              <a:ea typeface="+mn-ea"/>
              <a:cs typeface="+mn-cs"/>
            </a:rPr>
            <a:t> - Returns the number of characters in a text string</a:t>
          </a:r>
        </a:p>
        <a:p>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Left </a:t>
          </a:r>
          <a:r>
            <a:rPr lang="en-US" sz="1100" b="0" i="0">
              <a:solidFill>
                <a:schemeClr val="dk1"/>
              </a:solidFill>
              <a:effectLst/>
              <a:latin typeface="+mn-lt"/>
              <a:ea typeface="+mn-ea"/>
              <a:cs typeface="+mn-cs"/>
            </a:rPr>
            <a:t>returns the beginning characters of a string.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Mid</a:t>
          </a:r>
          <a:r>
            <a:rPr lang="en-US" sz="1100" b="0" i="0">
              <a:solidFill>
                <a:schemeClr val="dk1"/>
              </a:solidFill>
              <a:effectLst/>
              <a:latin typeface="+mn-lt"/>
              <a:ea typeface="+mn-ea"/>
              <a:cs typeface="+mn-cs"/>
            </a:rPr>
            <a:t> returns the middle characters of a string.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Right</a:t>
          </a:r>
          <a:r>
            <a:rPr lang="en-US" sz="1100" b="0" i="0">
              <a:solidFill>
                <a:schemeClr val="dk1"/>
              </a:solidFill>
              <a:effectLst/>
              <a:latin typeface="+mn-lt"/>
              <a:ea typeface="+mn-ea"/>
              <a:cs typeface="+mn-cs"/>
            </a:rPr>
            <a:t> returns the ending characters of a string.</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The CONCAT function </a:t>
          </a:r>
          <a:r>
            <a:rPr lang="en-US" sz="1100" b="0" i="0">
              <a:solidFill>
                <a:schemeClr val="dk1"/>
              </a:solidFill>
              <a:effectLst/>
              <a:latin typeface="+mn-lt"/>
              <a:ea typeface="+mn-ea"/>
              <a:cs typeface="+mn-cs"/>
            </a:rPr>
            <a:t>combines the text from multiple ranges and/or strings, but it doesn't provide delimiter or IgnoreEmpty arguments. CONCAT replaces the CONCATENATE function. However, the CONCATENATE function will stay available for compatibility with earlier versions of Excel.</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p>
      </xdr:txBody>
    </xdr:sp>
    <xdr:clientData/>
  </xdr:twoCellAnchor>
  <xdr:twoCellAnchor>
    <xdr:from>
      <xdr:col>9</xdr:col>
      <xdr:colOff>582384</xdr:colOff>
      <xdr:row>0</xdr:row>
      <xdr:rowOff>59871</xdr:rowOff>
    </xdr:from>
    <xdr:to>
      <xdr:col>10</xdr:col>
      <xdr:colOff>1953986</xdr:colOff>
      <xdr:row>11</xdr:row>
      <xdr:rowOff>43543</xdr:rowOff>
    </xdr:to>
    <xdr:sp macro="" textlink="">
      <xdr:nvSpPr>
        <xdr:cNvPr id="3" name="TextBox 2">
          <a:extLst>
            <a:ext uri="{FF2B5EF4-FFF2-40B4-BE49-F238E27FC236}">
              <a16:creationId xmlns:a16="http://schemas.microsoft.com/office/drawing/2014/main" id="{D5DDDA9A-74C8-4547-AA47-BC845177335F}"/>
            </a:ext>
          </a:extLst>
        </xdr:cNvPr>
        <xdr:cNvSpPr txBox="1"/>
      </xdr:nvSpPr>
      <xdr:spPr>
        <a:xfrm>
          <a:off x="8082641" y="59871"/>
          <a:ext cx="1953988" cy="215537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The DATE function </a:t>
          </a:r>
          <a:r>
            <a:rPr lang="en-US" sz="1100" b="0" i="0">
              <a:solidFill>
                <a:schemeClr val="dk1"/>
              </a:solidFill>
              <a:effectLst/>
              <a:latin typeface="+mn-lt"/>
              <a:ea typeface="+mn-ea"/>
              <a:cs typeface="+mn-cs"/>
            </a:rPr>
            <a:t>returns the sequential serial number that represents a particular date. </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Syntax: </a:t>
          </a:r>
          <a:r>
            <a:rPr lang="en-US" sz="1100" b="0" i="0">
              <a:solidFill>
                <a:schemeClr val="dk1"/>
              </a:solidFill>
              <a:effectLst/>
              <a:latin typeface="+mn-lt"/>
              <a:ea typeface="+mn-ea"/>
              <a:cs typeface="+mn-cs"/>
            </a:rPr>
            <a:t>DATE(year,month,day) The DATE function syntax has the following arguments: Year Required. The value of the year argument can include one to four digits.</a:t>
          </a:r>
          <a:endParaRPr lang="en-US" sz="1100" b="1"/>
        </a:p>
      </xdr:txBody>
    </xdr:sp>
    <xdr:clientData/>
  </xdr:twoCellAnchor>
  <xdr:twoCellAnchor>
    <xdr:from>
      <xdr:col>28</xdr:col>
      <xdr:colOff>65315</xdr:colOff>
      <xdr:row>0</xdr:row>
      <xdr:rowOff>88447</xdr:rowOff>
    </xdr:from>
    <xdr:to>
      <xdr:col>33</xdr:col>
      <xdr:colOff>217714</xdr:colOff>
      <xdr:row>10</xdr:row>
      <xdr:rowOff>108857</xdr:rowOff>
    </xdr:to>
    <xdr:sp macro="" textlink="">
      <xdr:nvSpPr>
        <xdr:cNvPr id="4" name="TextBox 3">
          <a:extLst>
            <a:ext uri="{FF2B5EF4-FFF2-40B4-BE49-F238E27FC236}">
              <a16:creationId xmlns:a16="http://schemas.microsoft.com/office/drawing/2014/main" id="{01F0E985-B3E6-4369-BDC2-50A868FD41B7}"/>
            </a:ext>
          </a:extLst>
        </xdr:cNvPr>
        <xdr:cNvSpPr txBox="1"/>
      </xdr:nvSpPr>
      <xdr:spPr>
        <a:xfrm>
          <a:off x="23894144" y="88447"/>
          <a:ext cx="3200399" cy="200161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Use</a:t>
          </a:r>
          <a:r>
            <a:rPr lang="en-US" sz="1100" b="1" i="0">
              <a:solidFill>
                <a:schemeClr val="dk1"/>
              </a:solidFill>
              <a:effectLst/>
              <a:latin typeface="+mn-lt"/>
              <a:ea typeface="+mn-ea"/>
              <a:cs typeface="+mn-cs"/>
            </a:rPr>
            <a:t> VLOOKUP </a:t>
          </a:r>
          <a:r>
            <a:rPr lang="en-US" sz="1100" b="0" i="0">
              <a:solidFill>
                <a:schemeClr val="dk1"/>
              </a:solidFill>
              <a:effectLst/>
              <a:latin typeface="+mn-lt"/>
              <a:ea typeface="+mn-ea"/>
              <a:cs typeface="+mn-cs"/>
            </a:rPr>
            <a:t>when you need to find things in a table or a range by row. For example, look up a price of an automotive part by the part number, or find an employee name based on their employee ID.</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Use the</a:t>
          </a:r>
          <a:r>
            <a:rPr lang="en-US" sz="1100" b="1" i="0">
              <a:solidFill>
                <a:schemeClr val="dk1"/>
              </a:solidFill>
              <a:effectLst/>
              <a:latin typeface="+mn-lt"/>
              <a:ea typeface="+mn-ea"/>
              <a:cs typeface="+mn-cs"/>
            </a:rPr>
            <a:t> XLOOKUP </a:t>
          </a:r>
          <a:r>
            <a:rPr lang="en-US" sz="1100" b="0" i="0">
              <a:solidFill>
                <a:schemeClr val="dk1"/>
              </a:solidFill>
              <a:effectLst/>
              <a:latin typeface="+mn-lt"/>
              <a:ea typeface="+mn-ea"/>
              <a:cs typeface="+mn-cs"/>
            </a:rPr>
            <a:t>function to find things in a table or range by row. For example, look up the price of an automotive part by the part number, or find an employee name based on their employee ID.</a:t>
          </a:r>
          <a:endParaRPr lang="en-US" sz="1100" b="1"/>
        </a:p>
      </xdr:txBody>
    </xdr:sp>
    <xdr:clientData/>
  </xdr:twoCellAnchor>
  <xdr:twoCellAnchor>
    <xdr:from>
      <xdr:col>48</xdr:col>
      <xdr:colOff>468086</xdr:colOff>
      <xdr:row>0</xdr:row>
      <xdr:rowOff>95250</xdr:rowOff>
    </xdr:from>
    <xdr:to>
      <xdr:col>52</xdr:col>
      <xdr:colOff>1544411</xdr:colOff>
      <xdr:row>24</xdr:row>
      <xdr:rowOff>152400</xdr:rowOff>
    </xdr:to>
    <xdr:sp macro="" textlink="">
      <xdr:nvSpPr>
        <xdr:cNvPr id="5" name="TextBox 4">
          <a:extLst>
            <a:ext uri="{FF2B5EF4-FFF2-40B4-BE49-F238E27FC236}">
              <a16:creationId xmlns:a16="http://schemas.microsoft.com/office/drawing/2014/main" id="{8C620704-B1BA-4FE9-9067-56730E374B8D}"/>
            </a:ext>
          </a:extLst>
        </xdr:cNvPr>
        <xdr:cNvSpPr txBox="1"/>
      </xdr:nvSpPr>
      <xdr:spPr>
        <a:xfrm>
          <a:off x="38459229" y="95250"/>
          <a:ext cx="3514725" cy="481420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mn-lt"/>
              <a:ea typeface="+mn-ea"/>
              <a:cs typeface="+mn-cs"/>
            </a:rPr>
            <a:t>ADVANCED FUNCTIONS</a:t>
          </a:r>
        </a:p>
        <a:p>
          <a:endParaRPr lang="en-US" sz="1100" b="1" i="0">
            <a:solidFill>
              <a:schemeClr val="dk1"/>
            </a:solidFill>
            <a:effectLst/>
            <a:latin typeface="+mn-lt"/>
            <a:ea typeface="+mn-ea"/>
            <a:cs typeface="+mn-cs"/>
          </a:endParaRPr>
        </a:p>
        <a:p>
          <a:r>
            <a:rPr lang="en-US" sz="1100" b="1" i="0">
              <a:solidFill>
                <a:schemeClr val="dk1"/>
              </a:solidFill>
              <a:effectLst/>
              <a:latin typeface="+mn-lt"/>
              <a:ea typeface="+mn-ea"/>
              <a:cs typeface="+mn-cs"/>
            </a:rPr>
            <a:t>The IF function </a:t>
          </a:r>
          <a:r>
            <a:rPr lang="en-US" sz="1100" b="0" i="0">
              <a:solidFill>
                <a:schemeClr val="dk1"/>
              </a:solidFill>
              <a:effectLst/>
              <a:latin typeface="+mn-lt"/>
              <a:ea typeface="+mn-ea"/>
              <a:cs typeface="+mn-cs"/>
            </a:rPr>
            <a:t>is one of the most popular functions in Excel, and it allows you to make logical comparisons between a value and what you expect. So an IF statement can have two results. The first result is if your comparison is True, the second if your comparison is False.</a:t>
          </a: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a:t>
          </a:r>
          <a:r>
            <a:rPr lang="en-US" sz="1100" b="1" i="0">
              <a:solidFill>
                <a:schemeClr val="dk1"/>
              </a:solidFill>
              <a:effectLst/>
              <a:latin typeface="+mn-lt"/>
              <a:ea typeface="+mn-ea"/>
              <a:cs typeface="+mn-cs"/>
            </a:rPr>
            <a:t>COUNT function </a:t>
          </a:r>
          <a:r>
            <a:rPr lang="en-US" sz="1100" b="0" i="0">
              <a:solidFill>
                <a:schemeClr val="dk1"/>
              </a:solidFill>
              <a:effectLst/>
              <a:latin typeface="+mn-lt"/>
              <a:ea typeface="+mn-ea"/>
              <a:cs typeface="+mn-cs"/>
            </a:rPr>
            <a:t>counts the number of cells that contain numbers, and counts numbers within the list of arguments. Use the COUNT function to get the number of entries in a number field that is in a range or array of numbers.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a:t>
          </a:r>
          <a:r>
            <a:rPr lang="en-US" sz="1100" b="1" i="0">
              <a:solidFill>
                <a:schemeClr val="dk1"/>
              </a:solidFill>
              <a:effectLst/>
              <a:latin typeface="+mn-lt"/>
              <a:ea typeface="+mn-ea"/>
              <a:cs typeface="+mn-cs"/>
            </a:rPr>
            <a:t>SUM function </a:t>
          </a:r>
          <a:r>
            <a:rPr lang="en-US" sz="1100" b="0" i="0">
              <a:solidFill>
                <a:schemeClr val="dk1"/>
              </a:solidFill>
              <a:effectLst/>
              <a:latin typeface="+mn-lt"/>
              <a:ea typeface="+mn-ea"/>
              <a:cs typeface="+mn-cs"/>
            </a:rPr>
            <a:t>adds values. You can add individual values, cell references or ranges or a mix of all three. For example: =SUM(A2:A10) Adds the values in cells A2:10. =SUM(A2:A10, C2:C10) Adds the values in cells A2:10, as well as cells C2:C10.</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Average Function </a:t>
          </a:r>
          <a:r>
            <a:rPr lang="en-US" sz="1100" b="0" i="0">
              <a:solidFill>
                <a:schemeClr val="dk1"/>
              </a:solidFill>
              <a:effectLst/>
              <a:latin typeface="+mn-lt"/>
              <a:ea typeface="+mn-ea"/>
              <a:cs typeface="+mn-cs"/>
            </a:rPr>
            <a:t>Returns the average (arithmetic mean) of the arguments. For example, if the range A1:A20 contains numbers, the formula =AVERAGE(A1:A20) returns the average of those numbers.</a:t>
          </a:r>
        </a:p>
        <a:p>
          <a:endParaRPr lang="en-US" sz="1100" b="0" i="0">
            <a:solidFill>
              <a:schemeClr val="dk1"/>
            </a:solidFill>
            <a:effectLst/>
            <a:latin typeface="+mn-lt"/>
            <a:ea typeface="+mn-ea"/>
            <a:cs typeface="+mn-cs"/>
          </a:endParaRPr>
        </a:p>
        <a:p>
          <a:endParaRPr lang="en-US" sz="1100" b="1"/>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BD129E-8BCD-4BE0-9404-755A2D91D773}" name="Table14" displayName="Table14" ref="AI2:AO19" totalsRowCount="1" headerRowDxfId="12" dataDxfId="11">
  <autoFilter ref="AI2:AO18" xr:uid="{9BBD129E-8BCD-4BE0-9404-755A2D91D773}"/>
  <tableColumns count="7">
    <tableColumn id="1" xr3:uid="{32AA03E8-2C4A-480D-A2B6-3B7D94CE4DD8}" name="Name" dataDxfId="10"/>
    <tableColumn id="2" xr3:uid="{A9A991E1-FFFD-48B4-B93A-6C55A87553F1}" name="Gender" dataDxfId="9"/>
    <tableColumn id="3" xr3:uid="{78B7BB76-7A80-4AA0-9D07-77B25D9B33A0}" name="Department" dataDxfId="8"/>
    <tableColumn id="4" xr3:uid="{11E242E2-E3CD-45B1-8A6E-383A2BF7AAAA}" name="Date Joined" dataDxfId="7" totalsRowDxfId="6"/>
    <tableColumn id="5" xr3:uid="{01674042-6350-4B05-9857-EBCCB1052543}" name="Salary" dataDxfId="5" totalsRowDxfId="4" dataCellStyle="Comma" totalsRowCellStyle="Comma"/>
    <tableColumn id="7" xr3:uid="{6874BE6F-DFEF-4FA4-AFC5-3259EBBF12B6}" name="Convert" dataDxfId="3" totalsRowDxfId="2"/>
    <tableColumn id="6" xr3:uid="{D52FA06B-93E2-4F99-AF60-3DE2772F582C}" name="Annual Salary" dataDxfId="1" totalsRowDxfId="0">
      <calculatedColumnFormula>Table14[[#This Row],[Salary]]*Table14[[#This Row],[Convert]]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7550-51ED-4F09-B179-0FD12D1FC723}">
  <dimension ref="A48:V49"/>
  <sheetViews>
    <sheetView showGridLines="0" zoomScale="115" zoomScaleNormal="115" workbookViewId="0">
      <selection activeCell="V22" sqref="V22"/>
    </sheetView>
  </sheetViews>
  <sheetFormatPr defaultColWidth="0" defaultRowHeight="15" x14ac:dyDescent="0.25"/>
  <cols>
    <col min="1" max="22" width="9.140625" customWidth="1"/>
    <col min="23" max="16384" width="9.140625" hidden="1"/>
  </cols>
  <sheetData>
    <row r="48" spans="3:3" ht="46.5" x14ac:dyDescent="0.7">
      <c r="C48" s="68" t="s">
        <v>235</v>
      </c>
    </row>
    <row r="49" spans="3:3" ht="31.5" x14ac:dyDescent="0.5">
      <c r="C49" s="69" t="s">
        <v>236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opLeftCell="A10" zoomScale="160" zoomScaleNormal="160" workbookViewId="0">
      <selection activeCell="H32" sqref="H32"/>
    </sheetView>
  </sheetViews>
  <sheetFormatPr defaultRowHeight="15" x14ac:dyDescent="0.25"/>
  <cols>
    <col min="1" max="1" width="11" customWidth="1"/>
    <col min="2" max="2" width="12.85546875" customWidth="1"/>
    <col min="6" max="6" width="5.85546875" customWidth="1"/>
    <col min="7" max="7" width="29.7109375" style="5" customWidth="1"/>
    <col min="8" max="8" width="15.28515625" style="5" customWidth="1"/>
    <col min="9" max="9" width="15" style="5" customWidth="1"/>
    <col min="10" max="10" width="49.85546875" style="2" bestFit="1" customWidth="1"/>
    <col min="11" max="11" width="11.42578125" customWidth="1"/>
    <col min="12" max="12" width="10.85546875" customWidth="1"/>
    <col min="13" max="13" width="15.140625" bestFit="1" customWidth="1"/>
  </cols>
  <sheetData>
    <row r="1" spans="7:13" x14ac:dyDescent="0.25">
      <c r="G1" s="71"/>
      <c r="H1" s="71"/>
      <c r="I1" s="71"/>
      <c r="J1" s="73"/>
    </row>
    <row r="2" spans="7:13" x14ac:dyDescent="0.25">
      <c r="G2" s="71" t="s">
        <v>22</v>
      </c>
      <c r="H2" s="71"/>
      <c r="I2" s="71"/>
      <c r="J2" s="73"/>
    </row>
    <row r="3" spans="7:13" x14ac:dyDescent="0.25">
      <c r="G3" s="74" t="s">
        <v>6</v>
      </c>
      <c r="H3" s="74" t="s">
        <v>19</v>
      </c>
      <c r="I3" s="74" t="s">
        <v>20</v>
      </c>
      <c r="J3" s="85" t="s">
        <v>21</v>
      </c>
    </row>
    <row r="4" spans="7:13" x14ac:dyDescent="0.25">
      <c r="G4" s="75" t="s">
        <v>9</v>
      </c>
      <c r="H4" s="76">
        <v>1</v>
      </c>
      <c r="I4" s="77">
        <v>876</v>
      </c>
      <c r="J4" s="78"/>
    </row>
    <row r="5" spans="7:13" x14ac:dyDescent="0.25">
      <c r="G5" s="6" t="s">
        <v>14</v>
      </c>
      <c r="H5" s="76">
        <v>2</v>
      </c>
      <c r="I5" s="77">
        <v>2922</v>
      </c>
      <c r="J5" s="78"/>
    </row>
    <row r="6" spans="7:13" x14ac:dyDescent="0.25">
      <c r="G6" s="6" t="s">
        <v>15</v>
      </c>
      <c r="H6" s="76">
        <v>3</v>
      </c>
      <c r="I6" s="77">
        <v>7554</v>
      </c>
      <c r="J6" s="78"/>
    </row>
    <row r="7" spans="7:13" x14ac:dyDescent="0.25">
      <c r="G7" s="6" t="s">
        <v>16</v>
      </c>
      <c r="H7" s="76">
        <v>5</v>
      </c>
      <c r="I7" s="77">
        <v>3018</v>
      </c>
      <c r="J7" s="78"/>
    </row>
    <row r="8" spans="7:13" x14ac:dyDescent="0.25">
      <c r="G8" s="6" t="s">
        <v>17</v>
      </c>
      <c r="H8" s="76">
        <v>5</v>
      </c>
      <c r="I8" s="77">
        <v>1101</v>
      </c>
      <c r="J8" s="78"/>
    </row>
    <row r="9" spans="7:13" x14ac:dyDescent="0.25">
      <c r="G9" s="6" t="s">
        <v>18</v>
      </c>
      <c r="H9" s="76">
        <v>5</v>
      </c>
      <c r="I9" s="77">
        <v>3018</v>
      </c>
      <c r="J9" s="78"/>
    </row>
    <row r="10" spans="7:13" x14ac:dyDescent="0.25">
      <c r="G10" s="71"/>
      <c r="H10" s="71"/>
      <c r="I10" s="71"/>
      <c r="J10" s="73"/>
    </row>
    <row r="11" spans="7:13" x14ac:dyDescent="0.25">
      <c r="G11" s="71"/>
      <c r="H11" s="71"/>
      <c r="I11" s="71"/>
      <c r="J11" s="73"/>
    </row>
    <row r="12" spans="7:13" x14ac:dyDescent="0.25">
      <c r="G12" s="71" t="s">
        <v>23</v>
      </c>
      <c r="H12" s="71"/>
      <c r="I12" s="71"/>
      <c r="J12" s="73"/>
    </row>
    <row r="13" spans="7:13" x14ac:dyDescent="0.25">
      <c r="G13" s="74" t="s">
        <v>24</v>
      </c>
      <c r="H13" s="74" t="s">
        <v>25</v>
      </c>
      <c r="I13"/>
      <c r="J13" s="74" t="s">
        <v>24</v>
      </c>
      <c r="K13" s="74" t="s">
        <v>25</v>
      </c>
      <c r="M13" s="74" t="s">
        <v>163</v>
      </c>
    </row>
    <row r="14" spans="7:13" x14ac:dyDescent="0.25">
      <c r="G14" s="76">
        <v>1</v>
      </c>
      <c r="H14" s="76">
        <v>10</v>
      </c>
      <c r="I14"/>
      <c r="J14" s="76">
        <f>G14*$M$14</f>
        <v>5</v>
      </c>
      <c r="K14" s="76"/>
      <c r="M14" s="25">
        <v>5</v>
      </c>
    </row>
    <row r="15" spans="7:13" x14ac:dyDescent="0.25">
      <c r="G15" s="25">
        <v>4</v>
      </c>
      <c r="H15" s="76">
        <v>10</v>
      </c>
      <c r="I15"/>
      <c r="J15" s="76">
        <f t="shared" ref="J15:J17" si="0">G15*$M$14</f>
        <v>20</v>
      </c>
      <c r="K15" s="76"/>
    </row>
    <row r="16" spans="7:13" x14ac:dyDescent="0.25">
      <c r="G16" s="25">
        <v>5</v>
      </c>
      <c r="H16" s="76">
        <v>8</v>
      </c>
      <c r="I16"/>
      <c r="J16" s="76">
        <f t="shared" si="0"/>
        <v>25</v>
      </c>
      <c r="K16" s="76"/>
    </row>
    <row r="17" spans="1:13" x14ac:dyDescent="0.25">
      <c r="G17" s="25">
        <v>4</v>
      </c>
      <c r="H17" s="76">
        <v>10</v>
      </c>
      <c r="I17"/>
      <c r="J17" s="76">
        <f t="shared" si="0"/>
        <v>20</v>
      </c>
      <c r="K17" s="76"/>
    </row>
    <row r="18" spans="1:13" x14ac:dyDescent="0.25">
      <c r="G18" s="71"/>
      <c r="H18" s="71"/>
      <c r="I18" s="71"/>
      <c r="J18" s="71"/>
      <c r="K18" s="71"/>
    </row>
    <row r="19" spans="1:13" x14ac:dyDescent="0.25">
      <c r="G19" s="71"/>
      <c r="H19" s="71"/>
      <c r="I19" s="71"/>
      <c r="J19" s="71"/>
      <c r="K19" s="71"/>
      <c r="L19" s="79"/>
      <c r="M19" s="79"/>
    </row>
    <row r="20" spans="1:13" x14ac:dyDescent="0.25">
      <c r="G20" s="71" t="s">
        <v>46</v>
      </c>
      <c r="H20" s="71"/>
      <c r="I20" s="71"/>
      <c r="J20" s="73"/>
      <c r="K20" s="73"/>
      <c r="L20" s="73"/>
      <c r="M20" s="73"/>
    </row>
    <row r="21" spans="1:13" x14ac:dyDescent="0.25">
      <c r="G21" s="74" t="s">
        <v>47</v>
      </c>
      <c r="H21" s="74" t="s">
        <v>48</v>
      </c>
      <c r="I21"/>
      <c r="J21" s="74" t="s">
        <v>244</v>
      </c>
      <c r="K21" s="74" t="s">
        <v>52</v>
      </c>
      <c r="L21" s="74" t="s">
        <v>54</v>
      </c>
      <c r="M21" s="74" t="s">
        <v>53</v>
      </c>
    </row>
    <row r="22" spans="1:13" x14ac:dyDescent="0.25">
      <c r="G22" s="80" t="s">
        <v>49</v>
      </c>
      <c r="H22" s="76">
        <v>80</v>
      </c>
      <c r="I22"/>
      <c r="J22" s="80" t="s">
        <v>49</v>
      </c>
      <c r="K22" s="81"/>
      <c r="L22" s="81"/>
      <c r="M22" s="81"/>
    </row>
    <row r="23" spans="1:13" x14ac:dyDescent="0.25">
      <c r="G23" s="72" t="s">
        <v>50</v>
      </c>
      <c r="H23" s="76">
        <v>30</v>
      </c>
      <c r="I23"/>
      <c r="J23" s="72" t="s">
        <v>50</v>
      </c>
      <c r="K23" s="81"/>
      <c r="L23" s="81"/>
      <c r="M23" s="81"/>
    </row>
    <row r="24" spans="1:13" x14ac:dyDescent="0.25">
      <c r="G24" s="71"/>
      <c r="H24" s="71"/>
      <c r="I24"/>
      <c r="J24" s="73"/>
      <c r="K24" s="73"/>
      <c r="L24" s="73"/>
      <c r="M24" s="73"/>
    </row>
    <row r="25" spans="1:13" x14ac:dyDescent="0.25">
      <c r="A25" s="19" t="s">
        <v>2</v>
      </c>
      <c r="G25" s="74" t="s">
        <v>51</v>
      </c>
      <c r="H25" s="74" t="s">
        <v>52</v>
      </c>
      <c r="I25" s="74" t="s">
        <v>54</v>
      </c>
      <c r="J25" s="74" t="s">
        <v>53</v>
      </c>
      <c r="K25" s="73"/>
      <c r="L25" s="73"/>
      <c r="M25" s="73"/>
    </row>
    <row r="26" spans="1:13" x14ac:dyDescent="0.25">
      <c r="A26" t="s">
        <v>0</v>
      </c>
      <c r="G26" s="82" t="s">
        <v>220</v>
      </c>
      <c r="H26" s="83">
        <v>0.2</v>
      </c>
      <c r="I26" s="83">
        <v>0.4</v>
      </c>
      <c r="J26" s="83">
        <v>0.8</v>
      </c>
      <c r="K26" s="73"/>
      <c r="L26" s="73"/>
      <c r="M26" s="73"/>
    </row>
    <row r="27" spans="1:13" x14ac:dyDescent="0.25">
      <c r="A27" t="s">
        <v>1</v>
      </c>
      <c r="G27" s="71"/>
      <c r="H27" s="71"/>
      <c r="I27" s="71"/>
      <c r="J27" s="73"/>
    </row>
    <row r="28" spans="1:13" x14ac:dyDescent="0.25">
      <c r="A28" t="s">
        <v>3</v>
      </c>
      <c r="G28" s="71"/>
      <c r="H28" s="71"/>
      <c r="I28" s="71"/>
      <c r="J28" s="73"/>
    </row>
    <row r="29" spans="1:13" x14ac:dyDescent="0.25">
      <c r="G29" s="71" t="s">
        <v>55</v>
      </c>
      <c r="H29" s="89" t="s">
        <v>253</v>
      </c>
      <c r="I29" s="89"/>
      <c r="J29" s="90"/>
    </row>
    <row r="30" spans="1:13" x14ac:dyDescent="0.25">
      <c r="G30" s="74" t="s">
        <v>47</v>
      </c>
      <c r="H30" s="74" t="s">
        <v>250</v>
      </c>
      <c r="I30" s="74" t="s">
        <v>252</v>
      </c>
      <c r="J30" s="74" t="s">
        <v>251</v>
      </c>
    </row>
    <row r="31" spans="1:13" x14ac:dyDescent="0.25">
      <c r="G31" s="80" t="s">
        <v>49</v>
      </c>
      <c r="H31" s="76"/>
      <c r="I31" s="76"/>
      <c r="J31" s="84"/>
    </row>
    <row r="32" spans="1:13" x14ac:dyDescent="0.25">
      <c r="G32" s="72" t="s">
        <v>50</v>
      </c>
      <c r="H32" s="76"/>
      <c r="I32" s="76"/>
      <c r="J32" s="76"/>
    </row>
    <row r="33" spans="7:10" x14ac:dyDescent="0.25">
      <c r="G33" s="71"/>
      <c r="H33" s="71"/>
      <c r="I33" s="71"/>
      <c r="J33" s="7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AC36-40D8-463F-9325-35142E119C5B}">
  <dimension ref="A1:D3"/>
  <sheetViews>
    <sheetView zoomScale="280" zoomScaleNormal="280" workbookViewId="0">
      <selection activeCell="B2" sqref="B2"/>
    </sheetView>
  </sheetViews>
  <sheetFormatPr defaultRowHeight="15" x14ac:dyDescent="0.25"/>
  <sheetData>
    <row r="1" spans="1:4" x14ac:dyDescent="0.25">
      <c r="A1" s="1" t="s">
        <v>47</v>
      </c>
      <c r="B1" s="1" t="s">
        <v>250</v>
      </c>
      <c r="C1" s="1" t="s">
        <v>252</v>
      </c>
      <c r="D1" s="1" t="s">
        <v>251</v>
      </c>
    </row>
    <row r="2" spans="1:4" x14ac:dyDescent="0.25">
      <c r="A2" s="87" t="s">
        <v>49</v>
      </c>
      <c r="B2" s="3">
        <v>1504</v>
      </c>
      <c r="C2" s="3">
        <v>368</v>
      </c>
      <c r="D2" s="3">
        <v>10</v>
      </c>
    </row>
    <row r="3" spans="1:4" x14ac:dyDescent="0.25">
      <c r="A3" s="88" t="s">
        <v>50</v>
      </c>
      <c r="B3" s="3">
        <v>165</v>
      </c>
      <c r="C3" s="3">
        <v>56</v>
      </c>
      <c r="D3" s="3">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82CE-3BF9-4F08-8B9C-A435EA9E13F3}">
  <dimension ref="A1:D3"/>
  <sheetViews>
    <sheetView zoomScale="280" zoomScaleNormal="280" workbookViewId="0">
      <selection activeCell="B2" sqref="B2"/>
    </sheetView>
  </sheetViews>
  <sheetFormatPr defaultRowHeight="15" x14ac:dyDescent="0.25"/>
  <sheetData>
    <row r="1" spans="1:4" x14ac:dyDescent="0.25">
      <c r="A1" s="1" t="s">
        <v>47</v>
      </c>
      <c r="B1" s="1" t="s">
        <v>250</v>
      </c>
      <c r="C1" s="1" t="s">
        <v>252</v>
      </c>
      <c r="D1" s="1" t="s">
        <v>251</v>
      </c>
    </row>
    <row r="2" spans="1:4" x14ac:dyDescent="0.25">
      <c r="A2" s="87" t="s">
        <v>49</v>
      </c>
      <c r="B2" s="3">
        <v>256</v>
      </c>
      <c r="C2" s="3">
        <v>450</v>
      </c>
      <c r="D2" s="3">
        <v>253</v>
      </c>
    </row>
    <row r="3" spans="1:4" x14ac:dyDescent="0.25">
      <c r="A3" s="88" t="s">
        <v>50</v>
      </c>
      <c r="B3" s="3">
        <v>150</v>
      </c>
      <c r="C3" s="3">
        <v>44</v>
      </c>
      <c r="D3" s="3">
        <v>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6BBC-188B-44D3-89FE-6A67606737D9}">
  <dimension ref="A1:D3"/>
  <sheetViews>
    <sheetView zoomScale="295" zoomScaleNormal="295" workbookViewId="0">
      <selection activeCell="B2" sqref="B2"/>
    </sheetView>
  </sheetViews>
  <sheetFormatPr defaultRowHeight="15" x14ac:dyDescent="0.25"/>
  <sheetData>
    <row r="1" spans="1:4" x14ac:dyDescent="0.25">
      <c r="A1" s="1" t="s">
        <v>47</v>
      </c>
      <c r="B1" s="1" t="s">
        <v>250</v>
      </c>
      <c r="C1" s="1" t="s">
        <v>252</v>
      </c>
      <c r="D1" s="1" t="s">
        <v>251</v>
      </c>
    </row>
    <row r="2" spans="1:4" x14ac:dyDescent="0.25">
      <c r="A2" s="87" t="s">
        <v>49</v>
      </c>
      <c r="B2" s="3">
        <v>526</v>
      </c>
      <c r="C2" s="3">
        <v>350</v>
      </c>
      <c r="D2" s="3">
        <v>86</v>
      </c>
    </row>
    <row r="3" spans="1:4" x14ac:dyDescent="0.25">
      <c r="A3" s="88" t="s">
        <v>50</v>
      </c>
      <c r="B3" s="3">
        <v>250</v>
      </c>
      <c r="C3" s="3">
        <v>250</v>
      </c>
      <c r="D3" s="3">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6EA-053C-48A2-AA98-0C2223734A8C}">
  <dimension ref="A1:G128"/>
  <sheetViews>
    <sheetView zoomScale="160" zoomScaleNormal="160" workbookViewId="0">
      <selection activeCell="E128" sqref="E128"/>
    </sheetView>
  </sheetViews>
  <sheetFormatPr defaultRowHeight="15" x14ac:dyDescent="0.25"/>
  <cols>
    <col min="1" max="1" width="35.7109375" customWidth="1"/>
    <col min="2" max="2" width="11.42578125" customWidth="1"/>
    <col min="3" max="3" width="24.28515625" style="5" customWidth="1"/>
    <col min="4" max="4" width="17.42578125" style="5" customWidth="1"/>
    <col min="5" max="5" width="13.7109375" style="5" customWidth="1"/>
    <col min="6" max="6" width="30.5703125" style="2" customWidth="1"/>
  </cols>
  <sheetData>
    <row r="1" spans="1:7" x14ac:dyDescent="0.25">
      <c r="C1" s="92" t="s">
        <v>7</v>
      </c>
      <c r="D1" s="91" t="s">
        <v>254</v>
      </c>
      <c r="E1" s="93" t="s">
        <v>100</v>
      </c>
    </row>
    <row r="2" spans="1:7" x14ac:dyDescent="0.25">
      <c r="C2" s="94">
        <v>43497</v>
      </c>
      <c r="D2" s="26" t="s">
        <v>126</v>
      </c>
      <c r="E2" s="95">
        <v>584</v>
      </c>
    </row>
    <row r="3" spans="1:7" x14ac:dyDescent="0.25">
      <c r="C3" s="94">
        <v>43497</v>
      </c>
      <c r="D3" s="26" t="s">
        <v>127</v>
      </c>
      <c r="E3" s="95">
        <v>1948</v>
      </c>
    </row>
    <row r="4" spans="1:7" x14ac:dyDescent="0.25">
      <c r="C4" s="94">
        <v>43617</v>
      </c>
      <c r="D4" s="26" t="s">
        <v>128</v>
      </c>
      <c r="E4" s="95">
        <v>5036</v>
      </c>
    </row>
    <row r="5" spans="1:7" x14ac:dyDescent="0.25">
      <c r="C5" s="94">
        <v>43617</v>
      </c>
      <c r="D5" s="26" t="s">
        <v>130</v>
      </c>
      <c r="E5" s="95">
        <v>2012</v>
      </c>
    </row>
    <row r="6" spans="1:7" x14ac:dyDescent="0.25">
      <c r="C6" s="94">
        <v>43647</v>
      </c>
      <c r="D6" s="26" t="s">
        <v>129</v>
      </c>
      <c r="E6" s="95">
        <v>734</v>
      </c>
    </row>
    <row r="7" spans="1:7" x14ac:dyDescent="0.25">
      <c r="C7" s="94">
        <v>43678</v>
      </c>
      <c r="D7" s="26" t="s">
        <v>131</v>
      </c>
      <c r="E7" s="95">
        <v>1766</v>
      </c>
    </row>
    <row r="8" spans="1:7" x14ac:dyDescent="0.25">
      <c r="C8" s="94">
        <v>43344</v>
      </c>
      <c r="D8" s="26" t="s">
        <v>132</v>
      </c>
      <c r="E8" s="95">
        <v>1098</v>
      </c>
    </row>
    <row r="9" spans="1:7" x14ac:dyDescent="0.25">
      <c r="C9" s="94">
        <v>43344</v>
      </c>
      <c r="D9" s="26" t="s">
        <v>133</v>
      </c>
      <c r="E9" s="95">
        <v>1576</v>
      </c>
    </row>
    <row r="10" spans="1:7" x14ac:dyDescent="0.25">
      <c r="C10" s="94">
        <v>43709</v>
      </c>
      <c r="D10" s="26" t="s">
        <v>134</v>
      </c>
      <c r="E10" s="95">
        <v>4944</v>
      </c>
    </row>
    <row r="11" spans="1:7" x14ac:dyDescent="0.25">
      <c r="A11" s="19" t="s">
        <v>255</v>
      </c>
      <c r="C11" s="94">
        <v>43739</v>
      </c>
      <c r="D11" s="26" t="s">
        <v>135</v>
      </c>
      <c r="E11" s="95">
        <v>2286</v>
      </c>
      <c r="G11" s="2"/>
    </row>
    <row r="12" spans="1:7" x14ac:dyDescent="0.25">
      <c r="A12" t="s">
        <v>122</v>
      </c>
      <c r="C12" s="94">
        <v>43405</v>
      </c>
      <c r="D12" s="26" t="s">
        <v>136</v>
      </c>
      <c r="E12" s="95">
        <v>3450</v>
      </c>
      <c r="G12" s="2"/>
    </row>
    <row r="13" spans="1:7" x14ac:dyDescent="0.25">
      <c r="A13" t="s">
        <v>123</v>
      </c>
      <c r="C13" s="94">
        <v>43405</v>
      </c>
      <c r="D13" s="26" t="s">
        <v>137</v>
      </c>
      <c r="E13" s="95">
        <v>1824</v>
      </c>
      <c r="G13" s="2"/>
    </row>
    <row r="14" spans="1:7" x14ac:dyDescent="0.25">
      <c r="A14" t="s">
        <v>124</v>
      </c>
      <c r="C14" s="94">
        <v>43435</v>
      </c>
      <c r="D14" s="26" t="s">
        <v>138</v>
      </c>
      <c r="E14" s="95">
        <v>4304</v>
      </c>
      <c r="G14" s="2"/>
    </row>
    <row r="15" spans="1:7" x14ac:dyDescent="0.25">
      <c r="A15" t="s">
        <v>125</v>
      </c>
      <c r="C15" s="94">
        <v>43800</v>
      </c>
      <c r="D15" s="26" t="s">
        <v>139</v>
      </c>
      <c r="E15" s="95">
        <v>3634</v>
      </c>
      <c r="G15" s="2"/>
    </row>
    <row r="16" spans="1:7" x14ac:dyDescent="0.25">
      <c r="C16" s="94">
        <v>43497</v>
      </c>
      <c r="D16" s="26" t="s">
        <v>126</v>
      </c>
      <c r="E16" s="95">
        <v>584</v>
      </c>
      <c r="G16" s="2"/>
    </row>
    <row r="17" spans="3:7" x14ac:dyDescent="0.25">
      <c r="C17" s="94">
        <v>43497</v>
      </c>
      <c r="D17" s="26" t="s">
        <v>127</v>
      </c>
      <c r="E17" s="95">
        <v>1948</v>
      </c>
      <c r="G17" s="2"/>
    </row>
    <row r="18" spans="3:7" x14ac:dyDescent="0.25">
      <c r="C18" s="94">
        <v>43617</v>
      </c>
      <c r="D18" s="26" t="s">
        <v>128</v>
      </c>
      <c r="E18" s="95">
        <v>5036</v>
      </c>
    </row>
    <row r="19" spans="3:7" x14ac:dyDescent="0.25">
      <c r="C19" s="94">
        <v>43617</v>
      </c>
      <c r="D19" s="26" t="s">
        <v>130</v>
      </c>
      <c r="E19" s="95">
        <v>2012</v>
      </c>
    </row>
    <row r="20" spans="3:7" x14ac:dyDescent="0.25">
      <c r="C20" s="94">
        <v>43647</v>
      </c>
      <c r="D20" s="26" t="s">
        <v>129</v>
      </c>
      <c r="E20" s="95">
        <v>734</v>
      </c>
    </row>
    <row r="21" spans="3:7" x14ac:dyDescent="0.25">
      <c r="C21" s="94">
        <v>43678</v>
      </c>
      <c r="D21" s="26" t="s">
        <v>131</v>
      </c>
      <c r="E21" s="95">
        <v>1766</v>
      </c>
    </row>
    <row r="22" spans="3:7" x14ac:dyDescent="0.25">
      <c r="C22" s="94">
        <v>43344</v>
      </c>
      <c r="D22" s="26" t="s">
        <v>132</v>
      </c>
      <c r="E22" s="95">
        <v>1098</v>
      </c>
    </row>
    <row r="23" spans="3:7" x14ac:dyDescent="0.25">
      <c r="C23" s="94">
        <v>43344</v>
      </c>
      <c r="D23" s="26" t="s">
        <v>133</v>
      </c>
      <c r="E23" s="95">
        <v>1576</v>
      </c>
    </row>
    <row r="24" spans="3:7" x14ac:dyDescent="0.25">
      <c r="C24" s="94">
        <v>43709</v>
      </c>
      <c r="D24" s="26" t="s">
        <v>134</v>
      </c>
      <c r="E24" s="95">
        <v>4944</v>
      </c>
    </row>
    <row r="25" spans="3:7" x14ac:dyDescent="0.25">
      <c r="C25" s="94">
        <v>43739</v>
      </c>
      <c r="D25" s="26" t="s">
        <v>135</v>
      </c>
      <c r="E25" s="95">
        <v>2286</v>
      </c>
    </row>
    <row r="26" spans="3:7" x14ac:dyDescent="0.25">
      <c r="C26" s="94">
        <v>43405</v>
      </c>
      <c r="D26" s="26" t="s">
        <v>136</v>
      </c>
      <c r="E26" s="95">
        <v>3450</v>
      </c>
    </row>
    <row r="27" spans="3:7" x14ac:dyDescent="0.25">
      <c r="C27" s="94">
        <v>43405</v>
      </c>
      <c r="D27" s="26" t="s">
        <v>137</v>
      </c>
      <c r="E27" s="95">
        <v>1824</v>
      </c>
    </row>
    <row r="28" spans="3:7" x14ac:dyDescent="0.25">
      <c r="C28" s="94">
        <v>43435</v>
      </c>
      <c r="D28" s="26" t="s">
        <v>138</v>
      </c>
      <c r="E28" s="95">
        <v>4304</v>
      </c>
    </row>
    <row r="29" spans="3:7" x14ac:dyDescent="0.25">
      <c r="C29" s="94">
        <v>43800</v>
      </c>
      <c r="D29" s="26" t="s">
        <v>139</v>
      </c>
      <c r="E29" s="95">
        <v>3634</v>
      </c>
    </row>
    <row r="30" spans="3:7" x14ac:dyDescent="0.25">
      <c r="C30" s="94">
        <v>43497</v>
      </c>
      <c r="D30" s="26" t="s">
        <v>126</v>
      </c>
      <c r="E30" s="95">
        <v>584</v>
      </c>
    </row>
    <row r="31" spans="3:7" x14ac:dyDescent="0.25">
      <c r="C31" s="94">
        <v>43497</v>
      </c>
      <c r="D31" s="26" t="s">
        <v>127</v>
      </c>
      <c r="E31" s="95">
        <v>1948</v>
      </c>
    </row>
    <row r="32" spans="3:7" x14ac:dyDescent="0.25">
      <c r="C32" s="94">
        <v>43617</v>
      </c>
      <c r="D32" s="26" t="s">
        <v>128</v>
      </c>
      <c r="E32" s="95">
        <v>5036</v>
      </c>
    </row>
    <row r="33" spans="3:5" x14ac:dyDescent="0.25">
      <c r="C33" s="94">
        <v>43617</v>
      </c>
      <c r="D33" s="26" t="s">
        <v>130</v>
      </c>
      <c r="E33" s="95">
        <v>2012</v>
      </c>
    </row>
    <row r="34" spans="3:5" x14ac:dyDescent="0.25">
      <c r="C34" s="94">
        <v>43647</v>
      </c>
      <c r="D34" s="26" t="s">
        <v>129</v>
      </c>
      <c r="E34" s="95">
        <v>734</v>
      </c>
    </row>
    <row r="35" spans="3:5" x14ac:dyDescent="0.25">
      <c r="C35" s="94">
        <v>43678</v>
      </c>
      <c r="D35" s="26" t="s">
        <v>131</v>
      </c>
      <c r="E35" s="95">
        <v>1766</v>
      </c>
    </row>
    <row r="36" spans="3:5" x14ac:dyDescent="0.25">
      <c r="C36" s="94">
        <v>43344</v>
      </c>
      <c r="D36" s="26" t="s">
        <v>132</v>
      </c>
      <c r="E36" s="95">
        <v>1098</v>
      </c>
    </row>
    <row r="37" spans="3:5" x14ac:dyDescent="0.25">
      <c r="C37" s="94">
        <v>43344</v>
      </c>
      <c r="D37" s="26" t="s">
        <v>133</v>
      </c>
      <c r="E37" s="95">
        <v>1576</v>
      </c>
    </row>
    <row r="38" spans="3:5" x14ac:dyDescent="0.25">
      <c r="C38" s="94">
        <v>43709</v>
      </c>
      <c r="D38" s="26" t="s">
        <v>134</v>
      </c>
      <c r="E38" s="95">
        <v>4944</v>
      </c>
    </row>
    <row r="39" spans="3:5" x14ac:dyDescent="0.25">
      <c r="C39" s="94">
        <v>43739</v>
      </c>
      <c r="D39" s="26" t="s">
        <v>135</v>
      </c>
      <c r="E39" s="95">
        <v>2286</v>
      </c>
    </row>
    <row r="40" spans="3:5" x14ac:dyDescent="0.25">
      <c r="C40" s="94">
        <v>43405</v>
      </c>
      <c r="D40" s="26" t="s">
        <v>136</v>
      </c>
      <c r="E40" s="95">
        <v>3450</v>
      </c>
    </row>
    <row r="41" spans="3:5" x14ac:dyDescent="0.25">
      <c r="C41" s="94">
        <v>43405</v>
      </c>
      <c r="D41" s="26" t="s">
        <v>137</v>
      </c>
      <c r="E41" s="95">
        <v>1824</v>
      </c>
    </row>
    <row r="42" spans="3:5" x14ac:dyDescent="0.25">
      <c r="C42" s="94">
        <v>43435</v>
      </c>
      <c r="D42" s="26" t="s">
        <v>138</v>
      </c>
      <c r="E42" s="95">
        <v>4304</v>
      </c>
    </row>
    <row r="43" spans="3:5" x14ac:dyDescent="0.25">
      <c r="C43" s="94">
        <v>43800</v>
      </c>
      <c r="D43" s="26" t="s">
        <v>139</v>
      </c>
      <c r="E43" s="95">
        <v>3634</v>
      </c>
    </row>
    <row r="44" spans="3:5" x14ac:dyDescent="0.25">
      <c r="C44" s="94">
        <v>43497</v>
      </c>
      <c r="D44" s="26" t="s">
        <v>126</v>
      </c>
      <c r="E44" s="95">
        <v>584</v>
      </c>
    </row>
    <row r="45" spans="3:5" x14ac:dyDescent="0.25">
      <c r="C45" s="94">
        <v>43497</v>
      </c>
      <c r="D45" s="26" t="s">
        <v>127</v>
      </c>
      <c r="E45" s="95">
        <v>1948</v>
      </c>
    </row>
    <row r="46" spans="3:5" x14ac:dyDescent="0.25">
      <c r="C46" s="94">
        <v>43617</v>
      </c>
      <c r="D46" s="26" t="s">
        <v>128</v>
      </c>
      <c r="E46" s="95">
        <v>5036</v>
      </c>
    </row>
    <row r="47" spans="3:5" x14ac:dyDescent="0.25">
      <c r="C47" s="94">
        <v>43617</v>
      </c>
      <c r="D47" s="26" t="s">
        <v>130</v>
      </c>
      <c r="E47" s="95">
        <v>2012</v>
      </c>
    </row>
    <row r="48" spans="3:5" x14ac:dyDescent="0.25">
      <c r="C48" s="94">
        <v>43647</v>
      </c>
      <c r="D48" s="26" t="s">
        <v>129</v>
      </c>
      <c r="E48" s="95">
        <v>734</v>
      </c>
    </row>
    <row r="49" spans="3:5" x14ac:dyDescent="0.25">
      <c r="C49" s="94">
        <v>43678</v>
      </c>
      <c r="D49" s="26" t="s">
        <v>131</v>
      </c>
      <c r="E49" s="95">
        <v>1766</v>
      </c>
    </row>
    <row r="50" spans="3:5" x14ac:dyDescent="0.25">
      <c r="C50" s="94">
        <v>43344</v>
      </c>
      <c r="D50" s="26" t="s">
        <v>132</v>
      </c>
      <c r="E50" s="95">
        <v>1098</v>
      </c>
    </row>
    <row r="51" spans="3:5" x14ac:dyDescent="0.25">
      <c r="C51" s="94">
        <v>43344</v>
      </c>
      <c r="D51" s="26" t="s">
        <v>133</v>
      </c>
      <c r="E51" s="95">
        <v>1576</v>
      </c>
    </row>
    <row r="52" spans="3:5" x14ac:dyDescent="0.25">
      <c r="C52" s="94">
        <v>43709</v>
      </c>
      <c r="D52" s="26" t="s">
        <v>134</v>
      </c>
      <c r="E52" s="95">
        <v>4944</v>
      </c>
    </row>
    <row r="53" spans="3:5" x14ac:dyDescent="0.25">
      <c r="C53" s="94">
        <v>43739</v>
      </c>
      <c r="D53" s="26" t="s">
        <v>135</v>
      </c>
      <c r="E53" s="95">
        <v>2286</v>
      </c>
    </row>
    <row r="54" spans="3:5" x14ac:dyDescent="0.25">
      <c r="C54" s="94">
        <v>43405</v>
      </c>
      <c r="D54" s="26" t="s">
        <v>136</v>
      </c>
      <c r="E54" s="95">
        <v>3450</v>
      </c>
    </row>
    <row r="55" spans="3:5" x14ac:dyDescent="0.25">
      <c r="C55" s="94">
        <v>43405</v>
      </c>
      <c r="D55" s="26" t="s">
        <v>137</v>
      </c>
      <c r="E55" s="95">
        <v>1824</v>
      </c>
    </row>
    <row r="56" spans="3:5" x14ac:dyDescent="0.25">
      <c r="C56" s="94">
        <v>43435</v>
      </c>
      <c r="D56" s="26" t="s">
        <v>138</v>
      </c>
      <c r="E56" s="95">
        <v>4304</v>
      </c>
    </row>
    <row r="57" spans="3:5" x14ac:dyDescent="0.25">
      <c r="C57" s="94">
        <v>43800</v>
      </c>
      <c r="D57" s="26" t="s">
        <v>139</v>
      </c>
      <c r="E57" s="95">
        <v>3634</v>
      </c>
    </row>
    <row r="58" spans="3:5" x14ac:dyDescent="0.25">
      <c r="C58" s="94">
        <v>43497</v>
      </c>
      <c r="D58" s="26" t="s">
        <v>126</v>
      </c>
      <c r="E58" s="95">
        <v>584</v>
      </c>
    </row>
    <row r="59" spans="3:5" x14ac:dyDescent="0.25">
      <c r="C59" s="94">
        <v>43497</v>
      </c>
      <c r="D59" s="26" t="s">
        <v>127</v>
      </c>
      <c r="E59" s="95">
        <v>1948</v>
      </c>
    </row>
    <row r="60" spans="3:5" x14ac:dyDescent="0.25">
      <c r="C60" s="94">
        <v>43617</v>
      </c>
      <c r="D60" s="26" t="s">
        <v>128</v>
      </c>
      <c r="E60" s="95">
        <v>5036</v>
      </c>
    </row>
    <row r="61" spans="3:5" x14ac:dyDescent="0.25">
      <c r="C61" s="94">
        <v>43617</v>
      </c>
      <c r="D61" s="26" t="s">
        <v>130</v>
      </c>
      <c r="E61" s="95">
        <v>2012</v>
      </c>
    </row>
    <row r="62" spans="3:5" x14ac:dyDescent="0.25">
      <c r="C62" s="94">
        <v>43647</v>
      </c>
      <c r="D62" s="26" t="s">
        <v>129</v>
      </c>
      <c r="E62" s="95">
        <v>734</v>
      </c>
    </row>
    <row r="63" spans="3:5" x14ac:dyDescent="0.25">
      <c r="C63" s="94">
        <v>43678</v>
      </c>
      <c r="D63" s="26" t="s">
        <v>131</v>
      </c>
      <c r="E63" s="95">
        <v>1766</v>
      </c>
    </row>
    <row r="64" spans="3:5" x14ac:dyDescent="0.25">
      <c r="C64" s="94">
        <v>43344</v>
      </c>
      <c r="D64" s="26" t="s">
        <v>132</v>
      </c>
      <c r="E64" s="95">
        <v>1098</v>
      </c>
    </row>
    <row r="65" spans="3:5" x14ac:dyDescent="0.25">
      <c r="C65" s="94">
        <v>43344</v>
      </c>
      <c r="D65" s="26" t="s">
        <v>133</v>
      </c>
      <c r="E65" s="95">
        <v>1576</v>
      </c>
    </row>
    <row r="66" spans="3:5" x14ac:dyDescent="0.25">
      <c r="C66" s="94">
        <v>43709</v>
      </c>
      <c r="D66" s="26" t="s">
        <v>134</v>
      </c>
      <c r="E66" s="95">
        <v>4944</v>
      </c>
    </row>
    <row r="67" spans="3:5" x14ac:dyDescent="0.25">
      <c r="C67" s="94">
        <v>43739</v>
      </c>
      <c r="D67" s="26" t="s">
        <v>135</v>
      </c>
      <c r="E67" s="95">
        <v>2286</v>
      </c>
    </row>
    <row r="68" spans="3:5" x14ac:dyDescent="0.25">
      <c r="C68" s="94">
        <v>43405</v>
      </c>
      <c r="D68" s="26" t="s">
        <v>136</v>
      </c>
      <c r="E68" s="95">
        <v>3450</v>
      </c>
    </row>
    <row r="69" spans="3:5" x14ac:dyDescent="0.25">
      <c r="C69" s="94">
        <v>43405</v>
      </c>
      <c r="D69" s="26" t="s">
        <v>137</v>
      </c>
      <c r="E69" s="95">
        <v>1824</v>
      </c>
    </row>
    <row r="70" spans="3:5" x14ac:dyDescent="0.25">
      <c r="C70" s="94">
        <v>43435</v>
      </c>
      <c r="D70" s="26" t="s">
        <v>138</v>
      </c>
      <c r="E70" s="95">
        <v>4304</v>
      </c>
    </row>
    <row r="71" spans="3:5" x14ac:dyDescent="0.25">
      <c r="C71" s="94">
        <v>43800</v>
      </c>
      <c r="D71" s="26" t="s">
        <v>139</v>
      </c>
      <c r="E71" s="95">
        <v>3634</v>
      </c>
    </row>
    <row r="72" spans="3:5" x14ac:dyDescent="0.25">
      <c r="C72" s="94">
        <v>43497</v>
      </c>
      <c r="D72" s="26" t="s">
        <v>126</v>
      </c>
      <c r="E72" s="95">
        <v>584</v>
      </c>
    </row>
    <row r="73" spans="3:5" x14ac:dyDescent="0.25">
      <c r="C73" s="94">
        <v>43497</v>
      </c>
      <c r="D73" s="26" t="s">
        <v>127</v>
      </c>
      <c r="E73" s="95">
        <v>1948</v>
      </c>
    </row>
    <row r="74" spans="3:5" x14ac:dyDescent="0.25">
      <c r="C74" s="94">
        <v>43617</v>
      </c>
      <c r="D74" s="26" t="s">
        <v>128</v>
      </c>
      <c r="E74" s="95">
        <v>5036</v>
      </c>
    </row>
    <row r="75" spans="3:5" x14ac:dyDescent="0.25">
      <c r="C75" s="94">
        <v>43617</v>
      </c>
      <c r="D75" s="26" t="s">
        <v>130</v>
      </c>
      <c r="E75" s="95">
        <v>2012</v>
      </c>
    </row>
    <row r="76" spans="3:5" x14ac:dyDescent="0.25">
      <c r="C76" s="94">
        <v>43647</v>
      </c>
      <c r="D76" s="26" t="s">
        <v>129</v>
      </c>
      <c r="E76" s="95">
        <v>734</v>
      </c>
    </row>
    <row r="77" spans="3:5" x14ac:dyDescent="0.25">
      <c r="C77" s="94">
        <v>43678</v>
      </c>
      <c r="D77" s="26" t="s">
        <v>131</v>
      </c>
      <c r="E77" s="95">
        <v>1766</v>
      </c>
    </row>
    <row r="78" spans="3:5" x14ac:dyDescent="0.25">
      <c r="C78" s="94">
        <v>43344</v>
      </c>
      <c r="D78" s="26" t="s">
        <v>132</v>
      </c>
      <c r="E78" s="95">
        <v>1098</v>
      </c>
    </row>
    <row r="79" spans="3:5" x14ac:dyDescent="0.25">
      <c r="C79" s="94">
        <v>43344</v>
      </c>
      <c r="D79" s="26" t="s">
        <v>133</v>
      </c>
      <c r="E79" s="95">
        <v>1576</v>
      </c>
    </row>
    <row r="80" spans="3:5" x14ac:dyDescent="0.25">
      <c r="C80" s="94">
        <v>43709</v>
      </c>
      <c r="D80" s="26" t="s">
        <v>134</v>
      </c>
      <c r="E80" s="95">
        <v>4944</v>
      </c>
    </row>
    <row r="81" spans="3:5" x14ac:dyDescent="0.25">
      <c r="C81" s="94">
        <v>43739</v>
      </c>
      <c r="D81" s="26" t="s">
        <v>135</v>
      </c>
      <c r="E81" s="95">
        <v>2286</v>
      </c>
    </row>
    <row r="82" spans="3:5" x14ac:dyDescent="0.25">
      <c r="C82" s="94">
        <v>43405</v>
      </c>
      <c r="D82" s="26" t="s">
        <v>136</v>
      </c>
      <c r="E82" s="95">
        <v>3450</v>
      </c>
    </row>
    <row r="83" spans="3:5" x14ac:dyDescent="0.25">
      <c r="C83" s="94">
        <v>43405</v>
      </c>
      <c r="D83" s="26" t="s">
        <v>137</v>
      </c>
      <c r="E83" s="95">
        <v>1824</v>
      </c>
    </row>
    <row r="84" spans="3:5" x14ac:dyDescent="0.25">
      <c r="C84" s="94">
        <v>43435</v>
      </c>
      <c r="D84" s="26" t="s">
        <v>138</v>
      </c>
      <c r="E84" s="95">
        <v>4304</v>
      </c>
    </row>
    <row r="85" spans="3:5" x14ac:dyDescent="0.25">
      <c r="C85" s="94">
        <v>43800</v>
      </c>
      <c r="D85" s="26" t="s">
        <v>139</v>
      </c>
      <c r="E85" s="95">
        <v>3634</v>
      </c>
    </row>
    <row r="86" spans="3:5" x14ac:dyDescent="0.25">
      <c r="C86" s="94">
        <v>43497</v>
      </c>
      <c r="D86" s="26" t="s">
        <v>126</v>
      </c>
      <c r="E86" s="95">
        <v>584</v>
      </c>
    </row>
    <row r="87" spans="3:5" x14ac:dyDescent="0.25">
      <c r="C87" s="94">
        <v>43497</v>
      </c>
      <c r="D87" s="26" t="s">
        <v>127</v>
      </c>
      <c r="E87" s="95">
        <v>1948</v>
      </c>
    </row>
    <row r="88" spans="3:5" x14ac:dyDescent="0.25">
      <c r="C88" s="94">
        <v>43617</v>
      </c>
      <c r="D88" s="26" t="s">
        <v>128</v>
      </c>
      <c r="E88" s="95">
        <v>5036</v>
      </c>
    </row>
    <row r="89" spans="3:5" x14ac:dyDescent="0.25">
      <c r="C89" s="94">
        <v>43617</v>
      </c>
      <c r="D89" s="26" t="s">
        <v>130</v>
      </c>
      <c r="E89" s="95">
        <v>2012</v>
      </c>
    </row>
    <row r="90" spans="3:5" x14ac:dyDescent="0.25">
      <c r="C90" s="94">
        <v>43647</v>
      </c>
      <c r="D90" s="26" t="s">
        <v>129</v>
      </c>
      <c r="E90" s="95">
        <v>734</v>
      </c>
    </row>
    <row r="91" spans="3:5" x14ac:dyDescent="0.25">
      <c r="C91" s="94">
        <v>43678</v>
      </c>
      <c r="D91" s="26" t="s">
        <v>131</v>
      </c>
      <c r="E91" s="95">
        <v>1766</v>
      </c>
    </row>
    <row r="92" spans="3:5" x14ac:dyDescent="0.25">
      <c r="C92" s="94">
        <v>43344</v>
      </c>
      <c r="D92" s="26" t="s">
        <v>132</v>
      </c>
      <c r="E92" s="95">
        <v>1098</v>
      </c>
    </row>
    <row r="93" spans="3:5" x14ac:dyDescent="0.25">
      <c r="C93" s="94">
        <v>43344</v>
      </c>
      <c r="D93" s="26" t="s">
        <v>133</v>
      </c>
      <c r="E93" s="95">
        <v>1576</v>
      </c>
    </row>
    <row r="94" spans="3:5" x14ac:dyDescent="0.25">
      <c r="C94" s="94">
        <v>43709</v>
      </c>
      <c r="D94" s="26" t="s">
        <v>134</v>
      </c>
      <c r="E94" s="95">
        <v>4944</v>
      </c>
    </row>
    <row r="95" spans="3:5" x14ac:dyDescent="0.25">
      <c r="C95" s="94">
        <v>43739</v>
      </c>
      <c r="D95" s="26" t="s">
        <v>135</v>
      </c>
      <c r="E95" s="95">
        <v>2286</v>
      </c>
    </row>
    <row r="96" spans="3:5" x14ac:dyDescent="0.25">
      <c r="C96" s="94">
        <v>43405</v>
      </c>
      <c r="D96" s="26" t="s">
        <v>136</v>
      </c>
      <c r="E96" s="95">
        <v>3450</v>
      </c>
    </row>
    <row r="97" spans="3:5" x14ac:dyDescent="0.25">
      <c r="C97" s="94">
        <v>43405</v>
      </c>
      <c r="D97" s="26" t="s">
        <v>137</v>
      </c>
      <c r="E97" s="95">
        <v>1824</v>
      </c>
    </row>
    <row r="98" spans="3:5" x14ac:dyDescent="0.25">
      <c r="C98" s="94">
        <v>43435</v>
      </c>
      <c r="D98" s="26" t="s">
        <v>138</v>
      </c>
      <c r="E98" s="95">
        <v>4304</v>
      </c>
    </row>
    <row r="99" spans="3:5" x14ac:dyDescent="0.25">
      <c r="C99" s="94">
        <v>43800</v>
      </c>
      <c r="D99" s="26" t="s">
        <v>139</v>
      </c>
      <c r="E99" s="95">
        <v>3634</v>
      </c>
    </row>
    <row r="100" spans="3:5" x14ac:dyDescent="0.25">
      <c r="C100" s="94">
        <v>43497</v>
      </c>
      <c r="D100" s="26" t="s">
        <v>126</v>
      </c>
      <c r="E100" s="95">
        <v>584</v>
      </c>
    </row>
    <row r="101" spans="3:5" x14ac:dyDescent="0.25">
      <c r="C101" s="94">
        <v>43497</v>
      </c>
      <c r="D101" s="26" t="s">
        <v>127</v>
      </c>
      <c r="E101" s="95">
        <v>1948</v>
      </c>
    </row>
    <row r="102" spans="3:5" x14ac:dyDescent="0.25">
      <c r="C102" s="94">
        <v>43617</v>
      </c>
      <c r="D102" s="26" t="s">
        <v>128</v>
      </c>
      <c r="E102" s="95">
        <v>5036</v>
      </c>
    </row>
    <row r="103" spans="3:5" x14ac:dyDescent="0.25">
      <c r="C103" s="94">
        <v>43617</v>
      </c>
      <c r="D103" s="26" t="s">
        <v>130</v>
      </c>
      <c r="E103" s="95">
        <v>2012</v>
      </c>
    </row>
    <row r="104" spans="3:5" x14ac:dyDescent="0.25">
      <c r="C104" s="94">
        <v>43647</v>
      </c>
      <c r="D104" s="26" t="s">
        <v>129</v>
      </c>
      <c r="E104" s="95">
        <v>734</v>
      </c>
    </row>
    <row r="105" spans="3:5" x14ac:dyDescent="0.25">
      <c r="C105" s="94">
        <v>43678</v>
      </c>
      <c r="D105" s="26" t="s">
        <v>131</v>
      </c>
      <c r="E105" s="95">
        <v>1766</v>
      </c>
    </row>
    <row r="106" spans="3:5" x14ac:dyDescent="0.25">
      <c r="C106" s="94">
        <v>43344</v>
      </c>
      <c r="D106" s="26" t="s">
        <v>132</v>
      </c>
      <c r="E106" s="95">
        <v>1098</v>
      </c>
    </row>
    <row r="107" spans="3:5" x14ac:dyDescent="0.25">
      <c r="C107" s="94">
        <v>43344</v>
      </c>
      <c r="D107" s="26" t="s">
        <v>133</v>
      </c>
      <c r="E107" s="95">
        <v>1576</v>
      </c>
    </row>
    <row r="108" spans="3:5" x14ac:dyDescent="0.25">
      <c r="C108" s="94">
        <v>43709</v>
      </c>
      <c r="D108" s="26" t="s">
        <v>134</v>
      </c>
      <c r="E108" s="95">
        <v>4944</v>
      </c>
    </row>
    <row r="109" spans="3:5" x14ac:dyDescent="0.25">
      <c r="C109" s="94">
        <v>43739</v>
      </c>
      <c r="D109" s="26" t="s">
        <v>135</v>
      </c>
      <c r="E109" s="95">
        <v>2286</v>
      </c>
    </row>
    <row r="110" spans="3:5" x14ac:dyDescent="0.25">
      <c r="C110" s="94">
        <v>43405</v>
      </c>
      <c r="D110" s="26" t="s">
        <v>136</v>
      </c>
      <c r="E110" s="95">
        <v>3450</v>
      </c>
    </row>
    <row r="111" spans="3:5" x14ac:dyDescent="0.25">
      <c r="C111" s="94">
        <v>43405</v>
      </c>
      <c r="D111" s="26" t="s">
        <v>137</v>
      </c>
      <c r="E111" s="95">
        <v>1824</v>
      </c>
    </row>
    <row r="112" spans="3:5" x14ac:dyDescent="0.25">
      <c r="C112" s="94">
        <v>43435</v>
      </c>
      <c r="D112" s="26" t="s">
        <v>138</v>
      </c>
      <c r="E112" s="95">
        <v>4304</v>
      </c>
    </row>
    <row r="113" spans="3:5" x14ac:dyDescent="0.25">
      <c r="C113" s="94">
        <v>43800</v>
      </c>
      <c r="D113" s="26" t="s">
        <v>139</v>
      </c>
      <c r="E113" s="95">
        <v>3634</v>
      </c>
    </row>
    <row r="114" spans="3:5" x14ac:dyDescent="0.25">
      <c r="C114" s="94">
        <v>43497</v>
      </c>
      <c r="D114" s="26" t="s">
        <v>126</v>
      </c>
      <c r="E114" s="95">
        <v>584</v>
      </c>
    </row>
    <row r="115" spans="3:5" x14ac:dyDescent="0.25">
      <c r="C115" s="94">
        <v>43497</v>
      </c>
      <c r="D115" s="26" t="s">
        <v>127</v>
      </c>
      <c r="E115" s="95">
        <v>1948</v>
      </c>
    </row>
    <row r="116" spans="3:5" x14ac:dyDescent="0.25">
      <c r="C116" s="94">
        <v>43617</v>
      </c>
      <c r="D116" s="26" t="s">
        <v>128</v>
      </c>
      <c r="E116" s="95">
        <v>5036</v>
      </c>
    </row>
    <row r="117" spans="3:5" x14ac:dyDescent="0.25">
      <c r="C117" s="94">
        <v>43617</v>
      </c>
      <c r="D117" s="26" t="s">
        <v>130</v>
      </c>
      <c r="E117" s="95">
        <v>2012</v>
      </c>
    </row>
    <row r="118" spans="3:5" x14ac:dyDescent="0.25">
      <c r="C118" s="94">
        <v>43647</v>
      </c>
      <c r="D118" s="26" t="s">
        <v>129</v>
      </c>
      <c r="E118" s="95">
        <v>734</v>
      </c>
    </row>
    <row r="119" spans="3:5" x14ac:dyDescent="0.25">
      <c r="C119" s="94">
        <v>43678</v>
      </c>
      <c r="D119" s="26" t="s">
        <v>131</v>
      </c>
      <c r="E119" s="95">
        <v>1766</v>
      </c>
    </row>
    <row r="120" spans="3:5" x14ac:dyDescent="0.25">
      <c r="C120" s="94">
        <v>43344</v>
      </c>
      <c r="D120" s="26" t="s">
        <v>132</v>
      </c>
      <c r="E120" s="95">
        <v>1098</v>
      </c>
    </row>
    <row r="121" spans="3:5" x14ac:dyDescent="0.25">
      <c r="C121" s="94">
        <v>43344</v>
      </c>
      <c r="D121" s="26" t="s">
        <v>133</v>
      </c>
      <c r="E121" s="95">
        <v>1576</v>
      </c>
    </row>
    <row r="122" spans="3:5" x14ac:dyDescent="0.25">
      <c r="C122" s="94">
        <v>43709</v>
      </c>
      <c r="D122" s="26" t="s">
        <v>134</v>
      </c>
      <c r="E122" s="95">
        <v>4944</v>
      </c>
    </row>
    <row r="123" spans="3:5" x14ac:dyDescent="0.25">
      <c r="C123" s="94">
        <v>43739</v>
      </c>
      <c r="D123" s="26" t="s">
        <v>135</v>
      </c>
      <c r="E123" s="95">
        <v>2286</v>
      </c>
    </row>
    <row r="124" spans="3:5" x14ac:dyDescent="0.25">
      <c r="C124" s="94">
        <v>43405</v>
      </c>
      <c r="D124" s="26" t="s">
        <v>136</v>
      </c>
      <c r="E124" s="95">
        <v>3450</v>
      </c>
    </row>
    <row r="125" spans="3:5" x14ac:dyDescent="0.25">
      <c r="C125" s="94">
        <v>43405</v>
      </c>
      <c r="D125" s="26" t="s">
        <v>137</v>
      </c>
      <c r="E125" s="95">
        <v>1824</v>
      </c>
    </row>
    <row r="126" spans="3:5" x14ac:dyDescent="0.25">
      <c r="C126" s="94">
        <v>43435</v>
      </c>
      <c r="D126" s="26" t="s">
        <v>138</v>
      </c>
      <c r="E126" s="95">
        <v>4304</v>
      </c>
    </row>
    <row r="127" spans="3:5" ht="15.75" thickBot="1" x14ac:dyDescent="0.3">
      <c r="C127" s="96">
        <v>43800</v>
      </c>
      <c r="D127" s="97" t="s">
        <v>139</v>
      </c>
      <c r="E127" s="98">
        <v>3634</v>
      </c>
    </row>
    <row r="128" spans="3:5" x14ac:dyDescent="0.25">
      <c r="D128" s="5">
        <f>COUNTA(SalesRep)</f>
        <v>126</v>
      </c>
      <c r="E128" s="86">
        <f>SUM(Sales)</f>
        <v>316764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1F88-477B-4171-9763-E687F4D316DE}">
  <dimension ref="A1:I31"/>
  <sheetViews>
    <sheetView zoomScale="160" zoomScaleNormal="160" workbookViewId="0">
      <selection activeCell="H2" sqref="H2"/>
    </sheetView>
  </sheetViews>
  <sheetFormatPr defaultRowHeight="15" x14ac:dyDescent="0.25"/>
  <cols>
    <col min="1" max="1" width="48.5703125" customWidth="1"/>
    <col min="2" max="2" width="5" customWidth="1"/>
    <col min="3" max="3" width="14.7109375" style="5" customWidth="1"/>
    <col min="4" max="4" width="22.7109375" style="5" customWidth="1"/>
    <col min="5" max="6" width="15.42578125" style="5" customWidth="1"/>
    <col min="7" max="7" width="4.140625" style="2" customWidth="1"/>
    <col min="8" max="8" width="14.140625" style="2" customWidth="1"/>
    <col min="9" max="9" width="11.42578125" customWidth="1"/>
    <col min="10" max="10" width="18.28515625" bestFit="1" customWidth="1"/>
  </cols>
  <sheetData>
    <row r="1" spans="1:9" ht="15.75" customHeight="1" thickBot="1" x14ac:dyDescent="0.3">
      <c r="C1" s="99" t="s">
        <v>5</v>
      </c>
      <c r="D1" s="100" t="s">
        <v>6</v>
      </c>
      <c r="E1" s="101" t="s">
        <v>45</v>
      </c>
      <c r="F1" s="102" t="s">
        <v>45</v>
      </c>
    </row>
    <row r="2" spans="1:9" x14ac:dyDescent="0.25">
      <c r="C2" s="103" t="s">
        <v>8</v>
      </c>
      <c r="D2" s="55" t="s">
        <v>9</v>
      </c>
      <c r="E2" s="54">
        <v>98</v>
      </c>
      <c r="F2" s="104">
        <v>98</v>
      </c>
      <c r="H2" s="19" t="s">
        <v>168</v>
      </c>
      <c r="I2" s="19" t="s">
        <v>257</v>
      </c>
    </row>
    <row r="3" spans="1:9" x14ac:dyDescent="0.25">
      <c r="C3" s="7" t="s">
        <v>162</v>
      </c>
      <c r="D3" s="4" t="s">
        <v>9</v>
      </c>
      <c r="E3" s="53">
        <v>78</v>
      </c>
      <c r="F3" s="105">
        <v>78</v>
      </c>
      <c r="H3" s="44" t="s">
        <v>171</v>
      </c>
      <c r="I3" s="108" t="s">
        <v>172</v>
      </c>
    </row>
    <row r="4" spans="1:9" x14ac:dyDescent="0.25">
      <c r="C4" s="7" t="s">
        <v>161</v>
      </c>
      <c r="D4" s="4" t="s">
        <v>9</v>
      </c>
      <c r="E4" s="53">
        <v>800</v>
      </c>
      <c r="F4" s="105">
        <v>800</v>
      </c>
      <c r="H4" s="45" t="s">
        <v>169</v>
      </c>
      <c r="I4" s="108" t="s">
        <v>173</v>
      </c>
    </row>
    <row r="5" spans="1:9" x14ac:dyDescent="0.25">
      <c r="C5" s="7" t="s">
        <v>11</v>
      </c>
      <c r="D5" s="4" t="s">
        <v>9</v>
      </c>
      <c r="E5" s="53">
        <v>35</v>
      </c>
      <c r="F5" s="105">
        <v>35</v>
      </c>
      <c r="H5" s="46" t="s">
        <v>170</v>
      </c>
      <c r="I5" s="108" t="s">
        <v>174</v>
      </c>
    </row>
    <row r="6" spans="1:9" x14ac:dyDescent="0.25">
      <c r="C6" s="7" t="s">
        <v>10</v>
      </c>
      <c r="D6" s="4" t="s">
        <v>9</v>
      </c>
      <c r="E6" s="53">
        <v>890</v>
      </c>
      <c r="F6" s="105">
        <v>890</v>
      </c>
      <c r="H6"/>
    </row>
    <row r="7" spans="1:9" x14ac:dyDescent="0.25">
      <c r="C7" s="7" t="s">
        <v>166</v>
      </c>
      <c r="D7" s="4" t="s">
        <v>14</v>
      </c>
      <c r="E7" s="53">
        <v>200</v>
      </c>
      <c r="F7" s="105">
        <v>200</v>
      </c>
      <c r="H7"/>
    </row>
    <row r="8" spans="1:9" x14ac:dyDescent="0.25">
      <c r="C8" s="7" t="s">
        <v>8</v>
      </c>
      <c r="D8" s="4" t="s">
        <v>14</v>
      </c>
      <c r="E8" s="53">
        <v>74.45</v>
      </c>
      <c r="F8" s="105">
        <v>74.45</v>
      </c>
      <c r="H8"/>
    </row>
    <row r="9" spans="1:9" x14ac:dyDescent="0.25">
      <c r="C9" s="7" t="s">
        <v>10</v>
      </c>
      <c r="D9" s="4" t="s">
        <v>14</v>
      </c>
      <c r="E9" s="53">
        <v>45</v>
      </c>
      <c r="F9" s="105">
        <v>45</v>
      </c>
    </row>
    <row r="10" spans="1:9" x14ac:dyDescent="0.25">
      <c r="C10" s="7" t="s">
        <v>12</v>
      </c>
      <c r="D10" s="4" t="s">
        <v>14</v>
      </c>
      <c r="E10" s="53">
        <v>153.20000000000002</v>
      </c>
      <c r="F10" s="105">
        <v>153.20000000000002</v>
      </c>
    </row>
    <row r="11" spans="1:9" x14ac:dyDescent="0.25">
      <c r="C11" s="7" t="s">
        <v>11</v>
      </c>
      <c r="D11" s="4" t="s">
        <v>14</v>
      </c>
      <c r="E11" s="53">
        <v>144</v>
      </c>
      <c r="F11" s="105">
        <v>144</v>
      </c>
    </row>
    <row r="12" spans="1:9" x14ac:dyDescent="0.25">
      <c r="C12" s="7" t="s">
        <v>10</v>
      </c>
      <c r="D12" s="4" t="s">
        <v>15</v>
      </c>
      <c r="E12" s="53">
        <v>66.8</v>
      </c>
      <c r="F12" s="105">
        <v>66.8</v>
      </c>
    </row>
    <row r="13" spans="1:9" x14ac:dyDescent="0.25">
      <c r="A13" s="19" t="s">
        <v>245</v>
      </c>
      <c r="C13" s="7" t="s">
        <v>12</v>
      </c>
      <c r="D13" s="4" t="s">
        <v>15</v>
      </c>
      <c r="E13" s="53">
        <v>120</v>
      </c>
      <c r="F13" s="105">
        <v>120</v>
      </c>
    </row>
    <row r="14" spans="1:9" x14ac:dyDescent="0.25">
      <c r="A14" t="s">
        <v>44</v>
      </c>
      <c r="C14" s="7" t="s">
        <v>8</v>
      </c>
      <c r="D14" s="4" t="s">
        <v>15</v>
      </c>
      <c r="E14" s="53">
        <v>58.6</v>
      </c>
      <c r="F14" s="105">
        <v>58.6</v>
      </c>
    </row>
    <row r="15" spans="1:9" x14ac:dyDescent="0.25">
      <c r="A15" t="s">
        <v>157</v>
      </c>
      <c r="C15" s="7" t="s">
        <v>13</v>
      </c>
      <c r="D15" s="4" t="s">
        <v>15</v>
      </c>
      <c r="E15" s="53">
        <v>89</v>
      </c>
      <c r="F15" s="105">
        <v>89</v>
      </c>
    </row>
    <row r="16" spans="1:9" x14ac:dyDescent="0.25">
      <c r="A16" t="s">
        <v>160</v>
      </c>
      <c r="C16" s="7" t="s">
        <v>11</v>
      </c>
      <c r="D16" s="4" t="s">
        <v>15</v>
      </c>
      <c r="E16" s="53">
        <v>220</v>
      </c>
      <c r="F16" s="105">
        <v>220</v>
      </c>
    </row>
    <row r="17" spans="3:6" x14ac:dyDescent="0.25">
      <c r="C17" s="7" t="s">
        <v>8</v>
      </c>
      <c r="D17" s="4" t="s">
        <v>16</v>
      </c>
      <c r="E17" s="53">
        <v>78</v>
      </c>
      <c r="F17" s="105">
        <v>78</v>
      </c>
    </row>
    <row r="18" spans="3:6" x14ac:dyDescent="0.25">
      <c r="C18" s="7" t="s">
        <v>12</v>
      </c>
      <c r="D18" s="4" t="s">
        <v>16</v>
      </c>
      <c r="E18" s="53">
        <v>123</v>
      </c>
      <c r="F18" s="105">
        <v>123</v>
      </c>
    </row>
    <row r="19" spans="3:6" x14ac:dyDescent="0.25">
      <c r="C19" s="7" t="s">
        <v>11</v>
      </c>
      <c r="D19" s="4" t="s">
        <v>16</v>
      </c>
      <c r="E19" s="53">
        <v>60</v>
      </c>
      <c r="F19" s="105">
        <v>60</v>
      </c>
    </row>
    <row r="20" spans="3:6" x14ac:dyDescent="0.25">
      <c r="C20" s="7" t="s">
        <v>10</v>
      </c>
      <c r="D20" s="4" t="s">
        <v>16</v>
      </c>
      <c r="E20" s="53">
        <v>109.2</v>
      </c>
      <c r="F20" s="105">
        <v>109.2</v>
      </c>
    </row>
    <row r="21" spans="3:6" x14ac:dyDescent="0.25">
      <c r="C21" s="7" t="s">
        <v>13</v>
      </c>
      <c r="D21" s="4" t="s">
        <v>16</v>
      </c>
      <c r="E21" s="53">
        <v>108.80000000000001</v>
      </c>
      <c r="F21" s="105">
        <v>108.80000000000001</v>
      </c>
    </row>
    <row r="22" spans="3:6" x14ac:dyDescent="0.25">
      <c r="C22" s="7" t="s">
        <v>8</v>
      </c>
      <c r="D22" s="4" t="s">
        <v>17</v>
      </c>
      <c r="E22" s="53">
        <v>142.20000000000002</v>
      </c>
      <c r="F22" s="105">
        <v>142.20000000000002</v>
      </c>
    </row>
    <row r="23" spans="3:6" x14ac:dyDescent="0.25">
      <c r="C23" s="7" t="s">
        <v>13</v>
      </c>
      <c r="D23" s="4" t="s">
        <v>17</v>
      </c>
      <c r="E23" s="53">
        <v>141.6</v>
      </c>
      <c r="F23" s="105">
        <v>141.6</v>
      </c>
    </row>
    <row r="24" spans="3:6" x14ac:dyDescent="0.25">
      <c r="C24" s="7" t="s">
        <v>12</v>
      </c>
      <c r="D24" s="4" t="s">
        <v>17</v>
      </c>
      <c r="E24" s="53">
        <v>138</v>
      </c>
      <c r="F24" s="105">
        <v>138</v>
      </c>
    </row>
    <row r="25" spans="3:6" x14ac:dyDescent="0.25">
      <c r="C25" s="7" t="s">
        <v>11</v>
      </c>
      <c r="D25" s="4" t="s">
        <v>17</v>
      </c>
      <c r="E25" s="53">
        <v>135.4</v>
      </c>
      <c r="F25" s="105">
        <v>135.4</v>
      </c>
    </row>
    <row r="26" spans="3:6" x14ac:dyDescent="0.25">
      <c r="C26" s="7" t="s">
        <v>10</v>
      </c>
      <c r="D26" s="4" t="s">
        <v>17</v>
      </c>
      <c r="E26" s="53">
        <v>132.6</v>
      </c>
      <c r="F26" s="105">
        <v>132.6</v>
      </c>
    </row>
    <row r="27" spans="3:6" x14ac:dyDescent="0.25">
      <c r="C27" s="7" t="s">
        <v>8</v>
      </c>
      <c r="D27" s="4" t="s">
        <v>18</v>
      </c>
      <c r="E27" s="53">
        <v>200</v>
      </c>
      <c r="F27" s="105">
        <v>200</v>
      </c>
    </row>
    <row r="28" spans="3:6" x14ac:dyDescent="0.25">
      <c r="C28" s="7" t="s">
        <v>13</v>
      </c>
      <c r="D28" s="4" t="s">
        <v>18</v>
      </c>
      <c r="E28" s="53">
        <v>97.600000000000009</v>
      </c>
      <c r="F28" s="105">
        <v>97.600000000000009</v>
      </c>
    </row>
    <row r="29" spans="3:6" x14ac:dyDescent="0.25">
      <c r="C29" s="7" t="s">
        <v>11</v>
      </c>
      <c r="D29" s="4" t="s">
        <v>18</v>
      </c>
      <c r="E29" s="53">
        <v>1900</v>
      </c>
      <c r="F29" s="105">
        <v>1900</v>
      </c>
    </row>
    <row r="30" spans="3:6" x14ac:dyDescent="0.25">
      <c r="C30" s="7" t="s">
        <v>10</v>
      </c>
      <c r="D30" s="4" t="s">
        <v>18</v>
      </c>
      <c r="E30" s="53">
        <v>80</v>
      </c>
      <c r="F30" s="105">
        <v>80</v>
      </c>
    </row>
    <row r="31" spans="3:6" ht="15.75" thickBot="1" x14ac:dyDescent="0.3">
      <c r="C31" s="8" t="s">
        <v>12</v>
      </c>
      <c r="D31" s="9" t="s">
        <v>18</v>
      </c>
      <c r="E31" s="106">
        <v>66.8</v>
      </c>
      <c r="F31" s="107">
        <v>66.8</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43E2-79AF-4392-A461-498B9F2F818B}">
  <dimension ref="A1:E19"/>
  <sheetViews>
    <sheetView zoomScale="160" zoomScaleNormal="160" workbookViewId="0">
      <selection activeCell="E17" sqref="E17"/>
    </sheetView>
  </sheetViews>
  <sheetFormatPr defaultRowHeight="15" x14ac:dyDescent="0.25"/>
  <cols>
    <col min="1" max="1" width="22" customWidth="1"/>
    <col min="2" max="2" width="20.28515625" customWidth="1"/>
    <col min="5" max="5" width="17.7109375" customWidth="1"/>
  </cols>
  <sheetData>
    <row r="1" spans="1:5" x14ac:dyDescent="0.25">
      <c r="E1" s="47" t="s">
        <v>175</v>
      </c>
    </row>
    <row r="13" spans="1:5" x14ac:dyDescent="0.25">
      <c r="A13" s="19" t="s">
        <v>140</v>
      </c>
      <c r="B13" s="19"/>
    </row>
    <row r="14" spans="1:5" x14ac:dyDescent="0.25">
      <c r="A14" t="s">
        <v>141</v>
      </c>
      <c r="B14" s="19" t="s">
        <v>215</v>
      </c>
    </row>
    <row r="15" spans="1:5" x14ac:dyDescent="0.25">
      <c r="A15" t="s">
        <v>142</v>
      </c>
      <c r="B15" s="19" t="s">
        <v>216</v>
      </c>
    </row>
    <row r="16" spans="1:5" x14ac:dyDescent="0.25">
      <c r="A16" t="s">
        <v>143</v>
      </c>
      <c r="B16" s="19" t="s">
        <v>217</v>
      </c>
    </row>
    <row r="17" spans="1:2" x14ac:dyDescent="0.25">
      <c r="A17" t="s">
        <v>144</v>
      </c>
      <c r="B17" s="19" t="s">
        <v>218</v>
      </c>
    </row>
    <row r="18" spans="1:2" x14ac:dyDescent="0.25">
      <c r="A18" t="s">
        <v>145</v>
      </c>
      <c r="B18" s="19" t="s">
        <v>219</v>
      </c>
    </row>
    <row r="19" spans="1:2" x14ac:dyDescent="0.25">
      <c r="A19" t="s">
        <v>146</v>
      </c>
      <c r="B19" s="19" t="s">
        <v>221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EB4D-31AE-4963-9DC3-4E19E1B15271}">
  <dimension ref="A1:T52"/>
  <sheetViews>
    <sheetView tabSelected="1" topLeftCell="A19" zoomScale="145" zoomScaleNormal="145" workbookViewId="0">
      <selection activeCell="B30" sqref="B30"/>
    </sheetView>
  </sheetViews>
  <sheetFormatPr defaultRowHeight="15" x14ac:dyDescent="0.25"/>
  <cols>
    <col min="1" max="1" width="27.42578125" bestFit="1" customWidth="1"/>
    <col min="2" max="2" width="17" customWidth="1"/>
    <col min="3" max="3" width="17.7109375" customWidth="1"/>
    <col min="4" max="4" width="14" customWidth="1"/>
    <col min="5" max="5" width="3.85546875" style="2" customWidth="1"/>
    <col min="6" max="6" width="29.42578125" style="2" customWidth="1"/>
    <col min="7" max="8" width="10.140625" style="2" customWidth="1"/>
    <col min="9" max="10" width="9.5703125" style="2" customWidth="1"/>
    <col min="12" max="12" width="37.5703125" customWidth="1"/>
    <col min="13" max="15" width="21" customWidth="1"/>
    <col min="16" max="16" width="9.85546875" bestFit="1" customWidth="1"/>
    <col min="17" max="17" width="21" customWidth="1"/>
    <col min="18" max="18" width="14.42578125" bestFit="1" customWidth="1"/>
    <col min="19" max="20" width="12.28515625" customWidth="1"/>
  </cols>
  <sheetData>
    <row r="1" spans="1:19" ht="15.75" x14ac:dyDescent="0.25">
      <c r="E1" s="109">
        <v>1</v>
      </c>
      <c r="F1" s="120" t="s">
        <v>148</v>
      </c>
      <c r="L1" s="181" t="s">
        <v>262</v>
      </c>
      <c r="M1" s="181"/>
      <c r="N1" t="s">
        <v>225</v>
      </c>
    </row>
    <row r="2" spans="1:19" x14ac:dyDescent="0.25">
      <c r="E2" s="109"/>
      <c r="F2" s="113"/>
      <c r="L2" s="56" t="s">
        <v>189</v>
      </c>
    </row>
    <row r="3" spans="1:19" ht="15.75" thickBot="1" x14ac:dyDescent="0.3">
      <c r="E3" s="109"/>
      <c r="F3" s="110"/>
      <c r="L3" s="57" t="s">
        <v>6</v>
      </c>
      <c r="M3" s="57" t="s">
        <v>190</v>
      </c>
      <c r="N3" s="57" t="s">
        <v>100</v>
      </c>
      <c r="Q3" s="19"/>
    </row>
    <row r="4" spans="1:19" x14ac:dyDescent="0.25">
      <c r="E4" s="109">
        <v>2</v>
      </c>
      <c r="F4" s="119" t="s">
        <v>148</v>
      </c>
      <c r="L4" s="58" t="s">
        <v>9</v>
      </c>
      <c r="M4" s="59">
        <v>120</v>
      </c>
      <c r="N4" s="60">
        <v>6000</v>
      </c>
      <c r="Q4" s="19"/>
      <c r="R4" s="19"/>
      <c r="S4" s="19"/>
    </row>
    <row r="5" spans="1:19" x14ac:dyDescent="0.25">
      <c r="E5" s="109"/>
      <c r="F5" s="113"/>
      <c r="L5" s="58" t="s">
        <v>191</v>
      </c>
      <c r="M5" s="59">
        <v>80</v>
      </c>
      <c r="N5" s="60">
        <v>4000</v>
      </c>
      <c r="O5" s="64"/>
      <c r="S5" s="64"/>
    </row>
    <row r="6" spans="1:19" x14ac:dyDescent="0.25">
      <c r="E6" s="109"/>
      <c r="F6" s="111">
        <v>1</v>
      </c>
      <c r="L6" s="58" t="s">
        <v>17</v>
      </c>
      <c r="M6" s="59">
        <v>60</v>
      </c>
      <c r="N6" s="60">
        <v>2700</v>
      </c>
      <c r="S6" s="64"/>
    </row>
    <row r="7" spans="1:19" x14ac:dyDescent="0.25">
      <c r="E7" s="115"/>
      <c r="F7" s="112">
        <v>2</v>
      </c>
      <c r="L7" s="58" t="s">
        <v>192</v>
      </c>
      <c r="M7" s="59">
        <v>40</v>
      </c>
      <c r="N7" s="60">
        <v>2200</v>
      </c>
      <c r="S7" s="64"/>
    </row>
    <row r="8" spans="1:19" x14ac:dyDescent="0.25">
      <c r="E8" s="115"/>
      <c r="F8" s="112">
        <v>3</v>
      </c>
      <c r="S8" s="64"/>
    </row>
    <row r="9" spans="1:19" x14ac:dyDescent="0.25">
      <c r="E9" s="115"/>
      <c r="F9" s="112">
        <v>4</v>
      </c>
      <c r="L9" s="56" t="s">
        <v>193</v>
      </c>
    </row>
    <row r="10" spans="1:19" x14ac:dyDescent="0.25">
      <c r="E10" s="115"/>
      <c r="F10" s="112">
        <v>5</v>
      </c>
      <c r="L10" s="57" t="s">
        <v>6</v>
      </c>
      <c r="M10" s="57" t="s">
        <v>190</v>
      </c>
      <c r="N10" s="57" t="s">
        <v>100</v>
      </c>
    </row>
    <row r="11" spans="1:19" x14ac:dyDescent="0.25">
      <c r="E11" s="115"/>
      <c r="F11" s="112">
        <v>6</v>
      </c>
      <c r="L11" s="58" t="s">
        <v>9</v>
      </c>
      <c r="M11" s="59">
        <v>95</v>
      </c>
      <c r="N11" s="60">
        <v>4750</v>
      </c>
    </row>
    <row r="12" spans="1:19" x14ac:dyDescent="0.25">
      <c r="A12" s="19" t="s">
        <v>147</v>
      </c>
      <c r="E12" s="115"/>
      <c r="F12" s="111">
        <v>7</v>
      </c>
      <c r="L12" s="58" t="s">
        <v>191</v>
      </c>
      <c r="M12" s="59">
        <v>110</v>
      </c>
      <c r="N12" s="60">
        <v>5500</v>
      </c>
    </row>
    <row r="13" spans="1:19" x14ac:dyDescent="0.25">
      <c r="A13" t="s">
        <v>154</v>
      </c>
      <c r="E13" s="115"/>
      <c r="F13" s="111">
        <v>8</v>
      </c>
      <c r="L13" s="58" t="s">
        <v>17</v>
      </c>
      <c r="M13" s="59">
        <v>45</v>
      </c>
      <c r="N13" s="60">
        <v>2025</v>
      </c>
    </row>
    <row r="14" spans="1:19" x14ac:dyDescent="0.25">
      <c r="A14" t="s">
        <v>149</v>
      </c>
      <c r="E14" s="115"/>
      <c r="F14" s="111">
        <v>9</v>
      </c>
      <c r="L14" s="58" t="s">
        <v>192</v>
      </c>
      <c r="M14" s="59">
        <v>70</v>
      </c>
      <c r="N14" s="60">
        <v>3850</v>
      </c>
    </row>
    <row r="15" spans="1:19" x14ac:dyDescent="0.25">
      <c r="A15" t="s">
        <v>150</v>
      </c>
      <c r="E15" s="115"/>
      <c r="F15" s="111">
        <v>10</v>
      </c>
    </row>
    <row r="16" spans="1:19" ht="15.75" thickBot="1" x14ac:dyDescent="0.3">
      <c r="A16" t="s">
        <v>151</v>
      </c>
      <c r="E16" s="115"/>
      <c r="F16" s="19"/>
      <c r="L16" s="56" t="s">
        <v>194</v>
      </c>
    </row>
    <row r="17" spans="1:20" x14ac:dyDescent="0.25">
      <c r="A17" t="s">
        <v>152</v>
      </c>
      <c r="E17" s="109">
        <v>3</v>
      </c>
      <c r="F17" s="119" t="s">
        <v>148</v>
      </c>
      <c r="L17" s="57" t="s">
        <v>6</v>
      </c>
      <c r="M17" s="57" t="s">
        <v>190</v>
      </c>
      <c r="N17" s="57" t="s">
        <v>100</v>
      </c>
    </row>
    <row r="18" spans="1:20" x14ac:dyDescent="0.25">
      <c r="A18" t="s">
        <v>153</v>
      </c>
      <c r="E18" s="116"/>
      <c r="F18" s="113"/>
      <c r="L18" s="58" t="s">
        <v>9</v>
      </c>
      <c r="M18" s="59">
        <v>60</v>
      </c>
      <c r="N18" s="60">
        <v>3000</v>
      </c>
    </row>
    <row r="19" spans="1:20" x14ac:dyDescent="0.25">
      <c r="B19" s="118" t="s">
        <v>370</v>
      </c>
      <c r="C19" s="118" t="s">
        <v>258</v>
      </c>
      <c r="D19" s="118" t="s">
        <v>88</v>
      </c>
      <c r="E19" s="116"/>
      <c r="F19" s="114"/>
      <c r="L19" s="58" t="s">
        <v>191</v>
      </c>
      <c r="M19" s="59">
        <v>50</v>
      </c>
      <c r="N19" s="60">
        <v>2500</v>
      </c>
    </row>
    <row r="20" spans="1:20" x14ac:dyDescent="0.25">
      <c r="B20" s="117">
        <v>1</v>
      </c>
      <c r="C20" s="117" t="s">
        <v>259</v>
      </c>
      <c r="D20" s="117"/>
      <c r="E20" s="116"/>
      <c r="F20" s="114" t="s">
        <v>222</v>
      </c>
      <c r="L20" s="58" t="s">
        <v>17</v>
      </c>
      <c r="M20" s="59">
        <v>90</v>
      </c>
      <c r="N20" s="60">
        <v>4050</v>
      </c>
    </row>
    <row r="21" spans="1:20" x14ac:dyDescent="0.25">
      <c r="B21" s="117">
        <v>1</v>
      </c>
      <c r="C21" s="117" t="s">
        <v>259</v>
      </c>
      <c r="D21" s="117"/>
      <c r="E21" s="116"/>
      <c r="F21" s="114" t="s">
        <v>102</v>
      </c>
      <c r="L21" s="58" t="s">
        <v>192</v>
      </c>
      <c r="M21" s="59">
        <v>30</v>
      </c>
      <c r="N21" s="60">
        <v>1650</v>
      </c>
    </row>
    <row r="22" spans="1:20" x14ac:dyDescent="0.25">
      <c r="B22" s="117">
        <v>2</v>
      </c>
      <c r="C22" s="117" t="s">
        <v>260</v>
      </c>
      <c r="D22" s="117"/>
      <c r="E22" s="116"/>
      <c r="F22" s="114" t="s">
        <v>223</v>
      </c>
    </row>
    <row r="23" spans="1:20" x14ac:dyDescent="0.25">
      <c r="B23" s="117">
        <v>3</v>
      </c>
      <c r="C23" s="117" t="s">
        <v>261</v>
      </c>
      <c r="D23" s="117"/>
      <c r="E23" s="116"/>
      <c r="F23" s="114" t="s">
        <v>256</v>
      </c>
      <c r="L23" s="19"/>
    </row>
    <row r="24" spans="1:20" x14ac:dyDescent="0.25">
      <c r="B24" s="117">
        <v>4</v>
      </c>
      <c r="C24" s="117" t="s">
        <v>371</v>
      </c>
      <c r="D24" s="117"/>
      <c r="E24" s="116"/>
      <c r="F24" s="114" t="s">
        <v>224</v>
      </c>
    </row>
    <row r="25" spans="1:20" ht="16.5" thickBot="1" x14ac:dyDescent="0.3">
      <c r="L25" s="181" t="s">
        <v>263</v>
      </c>
      <c r="M25" s="181"/>
    </row>
    <row r="26" spans="1:20" x14ac:dyDescent="0.25">
      <c r="E26" s="109">
        <v>4</v>
      </c>
      <c r="F26" s="119" t="s">
        <v>148</v>
      </c>
    </row>
    <row r="27" spans="1:20" x14ac:dyDescent="0.25">
      <c r="E27" s="116"/>
      <c r="F27" s="113"/>
      <c r="L27" s="57" t="s">
        <v>6</v>
      </c>
      <c r="M27" s="57" t="s">
        <v>195</v>
      </c>
      <c r="N27" s="57" t="s">
        <v>196</v>
      </c>
      <c r="O27" s="57" t="s">
        <v>197</v>
      </c>
      <c r="Q27" s="197"/>
      <c r="R27" s="198"/>
      <c r="S27" s="198"/>
      <c r="T27" s="198"/>
    </row>
    <row r="28" spans="1:20" x14ac:dyDescent="0.25">
      <c r="L28" s="58" t="s">
        <v>9</v>
      </c>
      <c r="M28" s="59">
        <v>292</v>
      </c>
      <c r="N28" s="59">
        <v>310</v>
      </c>
      <c r="O28" s="59">
        <v>288</v>
      </c>
      <c r="Q28" s="197"/>
      <c r="R28" s="199"/>
      <c r="S28" s="199"/>
      <c r="T28" s="199"/>
    </row>
    <row r="29" spans="1:20" x14ac:dyDescent="0.25">
      <c r="L29" s="58" t="s">
        <v>191</v>
      </c>
      <c r="M29" s="59">
        <v>974</v>
      </c>
      <c r="N29" s="59">
        <v>880</v>
      </c>
      <c r="O29" s="59">
        <v>1010</v>
      </c>
      <c r="Q29" s="197"/>
      <c r="R29" s="199"/>
      <c r="S29" s="199"/>
      <c r="T29" s="199"/>
    </row>
    <row r="30" spans="1:20" x14ac:dyDescent="0.25">
      <c r="L30" s="58" t="s">
        <v>192</v>
      </c>
      <c r="M30" s="59">
        <v>549</v>
      </c>
      <c r="N30" s="59">
        <v>600</v>
      </c>
      <c r="O30" s="59">
        <v>640</v>
      </c>
      <c r="Q30" s="197"/>
      <c r="R30" s="199"/>
      <c r="S30" s="199"/>
      <c r="T30" s="199"/>
    </row>
    <row r="31" spans="1:20" x14ac:dyDescent="0.25">
      <c r="Q31" s="198"/>
      <c r="R31" s="198"/>
      <c r="S31" s="198"/>
      <c r="T31" s="198"/>
    </row>
    <row r="32" spans="1:20" x14ac:dyDescent="0.25">
      <c r="Q32" s="198"/>
      <c r="R32" s="198"/>
      <c r="S32" s="198"/>
      <c r="T32" s="198"/>
    </row>
    <row r="33" spans="12:20" ht="15.75" x14ac:dyDescent="0.25">
      <c r="L33" s="181" t="s">
        <v>264</v>
      </c>
      <c r="M33" s="181"/>
      <c r="N33" t="s">
        <v>226</v>
      </c>
    </row>
    <row r="34" spans="12:20" x14ac:dyDescent="0.25">
      <c r="L34" s="19" t="s">
        <v>204</v>
      </c>
      <c r="Q34" s="19"/>
      <c r="R34" s="19"/>
      <c r="S34" s="19"/>
      <c r="T34" s="19"/>
    </row>
    <row r="35" spans="12:20" x14ac:dyDescent="0.25">
      <c r="L35" s="59" t="s">
        <v>198</v>
      </c>
      <c r="N35" t="s">
        <v>227</v>
      </c>
      <c r="O35" t="s">
        <v>100</v>
      </c>
      <c r="P35" s="13">
        <v>43599</v>
      </c>
      <c r="Q35">
        <v>45000</v>
      </c>
      <c r="S35" s="13"/>
    </row>
    <row r="36" spans="12:20" x14ac:dyDescent="0.25">
      <c r="L36" s="59" t="s">
        <v>199</v>
      </c>
      <c r="N36" t="s">
        <v>228</v>
      </c>
      <c r="O36" t="s">
        <v>102</v>
      </c>
      <c r="P36" s="13">
        <v>44137</v>
      </c>
      <c r="Q36">
        <v>52000</v>
      </c>
      <c r="S36" s="13"/>
    </row>
    <row r="37" spans="12:20" x14ac:dyDescent="0.25">
      <c r="L37" s="59" t="s">
        <v>200</v>
      </c>
      <c r="N37" t="s">
        <v>229</v>
      </c>
      <c r="O37" t="s">
        <v>230</v>
      </c>
      <c r="P37" s="13">
        <v>43123</v>
      </c>
      <c r="Q37">
        <v>38500</v>
      </c>
      <c r="S37" s="13"/>
    </row>
    <row r="38" spans="12:20" x14ac:dyDescent="0.25">
      <c r="L38" s="59" t="s">
        <v>201</v>
      </c>
      <c r="N38" t="s">
        <v>231</v>
      </c>
      <c r="O38" t="s">
        <v>224</v>
      </c>
      <c r="P38" s="13">
        <v>44407</v>
      </c>
      <c r="Q38">
        <v>41000</v>
      </c>
      <c r="S38" s="13"/>
    </row>
    <row r="39" spans="12:20" x14ac:dyDescent="0.25">
      <c r="L39" s="59" t="s">
        <v>202</v>
      </c>
      <c r="N39" t="s">
        <v>232</v>
      </c>
      <c r="O39" t="s">
        <v>100</v>
      </c>
      <c r="P39" s="13">
        <v>42986</v>
      </c>
      <c r="Q39">
        <v>47500</v>
      </c>
      <c r="S39" s="13"/>
    </row>
    <row r="40" spans="12:20" x14ac:dyDescent="0.25">
      <c r="L40" s="59" t="s">
        <v>203</v>
      </c>
      <c r="N40" t="s">
        <v>233</v>
      </c>
      <c r="O40" t="s">
        <v>102</v>
      </c>
      <c r="P40" s="13">
        <v>44637</v>
      </c>
      <c r="Q40">
        <v>56000</v>
      </c>
      <c r="S40" s="13"/>
    </row>
    <row r="43" spans="12:20" ht="15.75" x14ac:dyDescent="0.25">
      <c r="L43" s="62" t="s">
        <v>205</v>
      </c>
      <c r="M43" s="19" t="s">
        <v>234</v>
      </c>
    </row>
    <row r="44" spans="12:20" x14ac:dyDescent="0.25">
      <c r="L44" s="56" t="s">
        <v>206</v>
      </c>
    </row>
    <row r="45" spans="12:20" x14ac:dyDescent="0.25">
      <c r="L45" s="58" t="s">
        <v>207</v>
      </c>
      <c r="M45" s="65">
        <v>6235.2941176470595</v>
      </c>
      <c r="N45" s="19"/>
    </row>
    <row r="46" spans="12:20" x14ac:dyDescent="0.25">
      <c r="L46" s="58" t="s">
        <v>208</v>
      </c>
      <c r="M46" s="60">
        <v>45</v>
      </c>
    </row>
    <row r="47" spans="12:20" x14ac:dyDescent="0.25">
      <c r="L47" s="58" t="s">
        <v>209</v>
      </c>
      <c r="M47" s="60">
        <v>28</v>
      </c>
    </row>
    <row r="48" spans="12:20" x14ac:dyDescent="0.25">
      <c r="L48" s="58" t="s">
        <v>210</v>
      </c>
      <c r="M48" s="60">
        <v>6000</v>
      </c>
    </row>
    <row r="49" spans="12:14" x14ac:dyDescent="0.25">
      <c r="L49" s="58" t="s">
        <v>211</v>
      </c>
      <c r="M49" s="61">
        <f>M45*M46</f>
        <v>280588.23529411765</v>
      </c>
    </row>
    <row r="50" spans="12:14" x14ac:dyDescent="0.25">
      <c r="L50" s="58" t="s">
        <v>212</v>
      </c>
      <c r="M50" s="61">
        <f>M45*M47+M48</f>
        <v>180588.23529411765</v>
      </c>
    </row>
    <row r="51" spans="12:14" x14ac:dyDescent="0.25">
      <c r="L51" s="57" t="s">
        <v>213</v>
      </c>
      <c r="M51" s="63">
        <f>M49-M50</f>
        <v>100000</v>
      </c>
      <c r="N51" s="66"/>
    </row>
    <row r="52" spans="12:14" x14ac:dyDescent="0.25">
      <c r="L52" s="57" t="s">
        <v>214</v>
      </c>
      <c r="M52" s="60">
        <v>100000</v>
      </c>
    </row>
  </sheetData>
  <dataConsolidate topLabels="1">
    <dataRefs count="3">
      <dataRef ref="S3:U7" sheet="Data Tools"/>
      <dataRef ref="S10:U14" sheet="Data Tools"/>
      <dataRef ref="S17:U21" sheet="Data Tools"/>
    </dataRefs>
  </dataConsolidate>
  <mergeCells count="3">
    <mergeCell ref="L1:M1"/>
    <mergeCell ref="L25:M25"/>
    <mergeCell ref="L33:M33"/>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137A-286E-45AE-A4C3-974AB398ED2D}">
  <dimension ref="A1:G20"/>
  <sheetViews>
    <sheetView zoomScale="175" zoomScaleNormal="175" workbookViewId="0">
      <selection activeCell="C13" sqref="C13"/>
    </sheetView>
  </sheetViews>
  <sheetFormatPr defaultRowHeight="15" x14ac:dyDescent="0.25"/>
  <cols>
    <col min="1" max="1" width="38.7109375" customWidth="1"/>
    <col min="2" max="2" width="4.42578125" customWidth="1"/>
    <col min="3" max="3" width="24.7109375" bestFit="1" customWidth="1"/>
    <col min="4" max="4" width="9.85546875" customWidth="1"/>
    <col min="6" max="6" width="9.5703125" bestFit="1" customWidth="1"/>
    <col min="7" max="7" width="11.140625" bestFit="1" customWidth="1"/>
  </cols>
  <sheetData>
    <row r="1" spans="1:7" ht="15.75" thickBot="1" x14ac:dyDescent="0.3"/>
    <row r="2" spans="1:7" ht="15.75" thickBot="1" x14ac:dyDescent="0.3">
      <c r="C2" s="135" t="s">
        <v>36</v>
      </c>
      <c r="D2" s="136" t="s">
        <v>37</v>
      </c>
      <c r="E2" s="137" t="s">
        <v>38</v>
      </c>
      <c r="F2" s="137" t="s">
        <v>39</v>
      </c>
      <c r="G2" s="138" t="s">
        <v>167</v>
      </c>
    </row>
    <row r="3" spans="1:7" x14ac:dyDescent="0.25">
      <c r="C3" s="130" t="s">
        <v>40</v>
      </c>
      <c r="D3" s="131">
        <v>100</v>
      </c>
      <c r="E3" s="132">
        <v>85</v>
      </c>
      <c r="F3" s="133">
        <v>79</v>
      </c>
      <c r="G3" s="134">
        <f>AVERAGE(D3:F3)</f>
        <v>88</v>
      </c>
    </row>
    <row r="4" spans="1:7" x14ac:dyDescent="0.25">
      <c r="C4" s="121" t="s">
        <v>41</v>
      </c>
      <c r="D4" s="78">
        <v>90</v>
      </c>
      <c r="E4" s="122">
        <v>96</v>
      </c>
      <c r="F4" s="123">
        <v>85</v>
      </c>
      <c r="G4" s="124">
        <f t="shared" ref="G4:G6" si="0">AVERAGE(D4:F4)</f>
        <v>90.333333333333329</v>
      </c>
    </row>
    <row r="5" spans="1:7" x14ac:dyDescent="0.25">
      <c r="C5" s="121" t="s">
        <v>42</v>
      </c>
      <c r="D5" s="78">
        <v>95</v>
      </c>
      <c r="E5" s="122">
        <v>87</v>
      </c>
      <c r="F5" s="123">
        <v>85</v>
      </c>
      <c r="G5" s="124">
        <f t="shared" si="0"/>
        <v>89</v>
      </c>
    </row>
    <row r="6" spans="1:7" ht="15.75" thickBot="1" x14ac:dyDescent="0.3">
      <c r="C6" s="125" t="s">
        <v>43</v>
      </c>
      <c r="D6" s="126">
        <v>90</v>
      </c>
      <c r="E6" s="127">
        <v>95</v>
      </c>
      <c r="F6" s="128">
        <v>95</v>
      </c>
      <c r="G6" s="129">
        <f t="shared" si="0"/>
        <v>93.333333333333329</v>
      </c>
    </row>
    <row r="9" spans="1:7" x14ac:dyDescent="0.25">
      <c r="A9" s="19" t="s">
        <v>35</v>
      </c>
    </row>
    <row r="10" spans="1:7" x14ac:dyDescent="0.25">
      <c r="A10" t="s">
        <v>265</v>
      </c>
    </row>
    <row r="11" spans="1:7" x14ac:dyDescent="0.25">
      <c r="A11" t="s">
        <v>26</v>
      </c>
    </row>
    <row r="12" spans="1:7" x14ac:dyDescent="0.25">
      <c r="A12" t="s">
        <v>27</v>
      </c>
    </row>
    <row r="13" spans="1:7" x14ac:dyDescent="0.25">
      <c r="A13" t="s">
        <v>28</v>
      </c>
    </row>
    <row r="14" spans="1:7" x14ac:dyDescent="0.25">
      <c r="A14" t="s">
        <v>29</v>
      </c>
    </row>
    <row r="15" spans="1:7" x14ac:dyDescent="0.25">
      <c r="A15" t="s">
        <v>30</v>
      </c>
    </row>
    <row r="16" spans="1:7" x14ac:dyDescent="0.25">
      <c r="A16" t="s">
        <v>31</v>
      </c>
    </row>
    <row r="17" spans="1:1" x14ac:dyDescent="0.25">
      <c r="A17" t="s">
        <v>32</v>
      </c>
    </row>
    <row r="18" spans="1:1" x14ac:dyDescent="0.25">
      <c r="A18" t="s">
        <v>156</v>
      </c>
    </row>
    <row r="19" spans="1:1" x14ac:dyDescent="0.25">
      <c r="A19" t="s">
        <v>33</v>
      </c>
    </row>
    <row r="20" spans="1:1" x14ac:dyDescent="0.25">
      <c r="A20" t="s">
        <v>34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E6ED4-1FE5-48F7-ABBE-A1F2B21FF111}">
  <dimension ref="A1:BL56"/>
  <sheetViews>
    <sheetView topLeftCell="AC7" zoomScale="145" zoomScaleNormal="145" workbookViewId="0">
      <selection activeCell="BC2" sqref="BC2"/>
    </sheetView>
  </sheetViews>
  <sheetFormatPr defaultRowHeight="15" x14ac:dyDescent="0.25"/>
  <cols>
    <col min="7" max="7" width="24.28515625" style="5" customWidth="1"/>
    <col min="8" max="8" width="17.42578125" style="5" customWidth="1"/>
    <col min="9" max="9" width="15.85546875" style="5" customWidth="1"/>
    <col min="10" max="10" width="8.7109375" style="2" customWidth="1"/>
    <col min="11" max="11" width="30.28515625" style="2" customWidth="1"/>
    <col min="12" max="12" width="6.28515625" style="2" customWidth="1"/>
    <col min="13" max="13" width="16.140625" style="51" customWidth="1"/>
    <col min="15" max="15" width="10.42578125" bestFit="1" customWidth="1"/>
    <col min="16" max="16" width="18.5703125" customWidth="1"/>
    <col min="21" max="21" width="12.5703125" bestFit="1" customWidth="1"/>
    <col min="22" max="22" width="12.28515625" customWidth="1"/>
    <col min="23" max="23" width="11.85546875" customWidth="1"/>
    <col min="25" max="25" width="12.140625" customWidth="1"/>
    <col min="26" max="26" width="13.85546875" bestFit="1" customWidth="1"/>
    <col min="27" max="27" width="27.5703125" customWidth="1"/>
    <col min="35" max="35" width="19.85546875" bestFit="1" customWidth="1"/>
    <col min="36" max="36" width="9.7109375" customWidth="1"/>
    <col min="37" max="37" width="14.42578125" customWidth="1"/>
    <col min="38" max="38" width="13.7109375" style="28" bestFit="1" customWidth="1"/>
    <col min="39" max="39" width="13.5703125" customWidth="1"/>
    <col min="40" max="40" width="0.140625" style="15" hidden="1" customWidth="1"/>
    <col min="41" max="41" width="0.7109375" style="38" hidden="1" customWidth="1"/>
    <col min="42" max="42" width="2.42578125" customWidth="1"/>
    <col min="43" max="43" width="16.85546875" customWidth="1"/>
    <col min="44" max="44" width="15" bestFit="1" customWidth="1"/>
    <col min="45" max="45" width="13" customWidth="1"/>
    <col min="46" max="46" width="11.7109375" bestFit="1" customWidth="1"/>
    <col min="47" max="47" width="13.28515625" customWidth="1"/>
    <col min="48" max="48" width="12.7109375" customWidth="1"/>
    <col min="53" max="53" width="29.5703125" customWidth="1"/>
    <col min="54" max="54" width="17" customWidth="1"/>
    <col min="55" max="55" width="63.42578125" customWidth="1"/>
    <col min="56" max="56" width="14.7109375" customWidth="1"/>
    <col min="57" max="57" width="13.28515625" customWidth="1"/>
    <col min="59" max="59" width="13.42578125" customWidth="1"/>
    <col min="60" max="60" width="14.28515625" customWidth="1"/>
    <col min="61" max="61" width="15.42578125" customWidth="1"/>
    <col min="62" max="62" width="12.85546875" customWidth="1"/>
    <col min="63" max="63" width="16.85546875" bestFit="1" customWidth="1"/>
    <col min="64" max="64" width="12.5703125" bestFit="1" customWidth="1"/>
    <col min="65" max="65" width="33" customWidth="1"/>
  </cols>
  <sheetData>
    <row r="1" spans="7:64" ht="16.5" thickBot="1" x14ac:dyDescent="0.3">
      <c r="M1" s="153" t="s">
        <v>76</v>
      </c>
      <c r="R1" s="155" t="s">
        <v>77</v>
      </c>
      <c r="V1" s="14"/>
      <c r="Z1" s="19" t="s">
        <v>85</v>
      </c>
      <c r="AI1" s="158">
        <v>1</v>
      </c>
      <c r="AJ1" s="158">
        <v>2</v>
      </c>
      <c r="AK1" s="158">
        <v>3</v>
      </c>
      <c r="AL1" s="159">
        <v>4</v>
      </c>
      <c r="AM1" s="158">
        <v>5</v>
      </c>
      <c r="AN1" s="15">
        <v>6</v>
      </c>
      <c r="AO1" s="36">
        <v>7</v>
      </c>
      <c r="BB1" s="161" t="s">
        <v>360</v>
      </c>
      <c r="BC1" s="162" t="s">
        <v>78</v>
      </c>
      <c r="BD1" s="161" t="s">
        <v>361</v>
      </c>
      <c r="BE1" s="161" t="s">
        <v>362</v>
      </c>
      <c r="BF1" s="2"/>
      <c r="BG1" s="182" t="s">
        <v>359</v>
      </c>
      <c r="BH1" s="183"/>
      <c r="BI1" s="2"/>
      <c r="BJ1" s="70"/>
    </row>
    <row r="2" spans="7:64" ht="16.5" thickBot="1" x14ac:dyDescent="0.3">
      <c r="G2" s="186" t="s">
        <v>270</v>
      </c>
      <c r="H2" s="186"/>
      <c r="I2" s="186"/>
      <c r="M2" s="187" t="s">
        <v>271</v>
      </c>
      <c r="O2" s="184" t="s">
        <v>272</v>
      </c>
      <c r="P2" s="184" t="s">
        <v>273</v>
      </c>
      <c r="R2" s="189" t="s">
        <v>79</v>
      </c>
      <c r="S2" s="189" t="s">
        <v>51</v>
      </c>
      <c r="T2" s="189" t="s">
        <v>80</v>
      </c>
      <c r="U2" s="189" t="s">
        <v>81</v>
      </c>
      <c r="V2" s="189" t="s">
        <v>51</v>
      </c>
      <c r="W2" s="189" t="s">
        <v>79</v>
      </c>
      <c r="Y2" s="184" t="s">
        <v>164</v>
      </c>
      <c r="Z2" s="184" t="s">
        <v>82</v>
      </c>
      <c r="AA2" s="184" t="s">
        <v>83</v>
      </c>
      <c r="AI2" s="156" t="s">
        <v>86</v>
      </c>
      <c r="AJ2" s="156" t="s">
        <v>87</v>
      </c>
      <c r="AK2" s="156" t="s">
        <v>88</v>
      </c>
      <c r="AL2" s="157" t="s">
        <v>89</v>
      </c>
      <c r="AM2" s="156" t="s">
        <v>90</v>
      </c>
      <c r="AN2" s="49" t="s">
        <v>158</v>
      </c>
      <c r="AO2" s="37" t="s">
        <v>159</v>
      </c>
      <c r="AQ2" s="19" t="s">
        <v>275</v>
      </c>
      <c r="BB2" s="71" t="s">
        <v>113</v>
      </c>
      <c r="BC2" s="177" t="s">
        <v>246</v>
      </c>
      <c r="BD2" s="2"/>
      <c r="BE2" s="2"/>
      <c r="BF2" s="2"/>
      <c r="BG2" s="166" t="s">
        <v>278</v>
      </c>
      <c r="BH2" s="167" t="s">
        <v>279</v>
      </c>
      <c r="BI2" s="167" t="s">
        <v>280</v>
      </c>
      <c r="BJ2" s="140" t="s">
        <v>281</v>
      </c>
      <c r="BK2" s="168" t="s">
        <v>355</v>
      </c>
    </row>
    <row r="3" spans="7:64" ht="15.75" thickBot="1" x14ac:dyDescent="0.3">
      <c r="G3" s="191" t="s">
        <v>66</v>
      </c>
      <c r="H3" s="192"/>
      <c r="I3" s="193"/>
      <c r="M3" s="188"/>
      <c r="N3" s="12"/>
      <c r="O3" s="185"/>
      <c r="P3" s="185"/>
      <c r="Q3" s="12"/>
      <c r="R3" s="190"/>
      <c r="S3" s="190"/>
      <c r="T3" s="190"/>
      <c r="U3" s="190"/>
      <c r="V3" s="190"/>
      <c r="W3" s="190"/>
      <c r="Y3" s="185"/>
      <c r="Z3" s="185"/>
      <c r="AA3" s="185"/>
      <c r="AI3" t="s">
        <v>91</v>
      </c>
      <c r="AJ3" t="s">
        <v>92</v>
      </c>
      <c r="AK3" t="s">
        <v>93</v>
      </c>
      <c r="AL3" s="28">
        <v>43744</v>
      </c>
      <c r="AM3" s="35">
        <v>75000</v>
      </c>
      <c r="AN3" s="15">
        <v>12</v>
      </c>
      <c r="AO3" s="38">
        <f>Table14[[#This Row],[Salary]]*Table14[[#This Row],[Convert]]</f>
        <v>900000</v>
      </c>
      <c r="AR3" s="23" t="s">
        <v>87</v>
      </c>
      <c r="AS3" s="23" t="s">
        <v>88</v>
      </c>
      <c r="AT3" s="22" t="s">
        <v>89</v>
      </c>
      <c r="AU3" s="22" t="s">
        <v>90</v>
      </c>
      <c r="BB3" s="71" t="s">
        <v>114</v>
      </c>
      <c r="BC3" s="178" t="s">
        <v>240</v>
      </c>
      <c r="BD3" s="2"/>
      <c r="BE3" s="2"/>
      <c r="BF3" s="180">
        <v>1</v>
      </c>
      <c r="BG3" s="169" t="s">
        <v>282</v>
      </c>
      <c r="BH3" s="163" t="s">
        <v>289</v>
      </c>
      <c r="BI3" s="164">
        <v>27.87</v>
      </c>
      <c r="BJ3" s="163" t="s">
        <v>298</v>
      </c>
      <c r="BK3" s="170">
        <v>8</v>
      </c>
      <c r="BL3" s="165"/>
    </row>
    <row r="4" spans="7:64" ht="15.75" thickBot="1" x14ac:dyDescent="0.3">
      <c r="G4" s="139" t="s">
        <v>67</v>
      </c>
      <c r="H4" s="67"/>
      <c r="I4" s="10"/>
      <c r="M4" s="13">
        <v>44572</v>
      </c>
      <c r="O4" s="160" t="s">
        <v>274</v>
      </c>
      <c r="P4" s="13">
        <f ca="1">TODAY()</f>
        <v>46294</v>
      </c>
      <c r="R4" s="15">
        <v>2023</v>
      </c>
      <c r="S4" s="15">
        <v>1</v>
      </c>
      <c r="T4" s="15">
        <v>1</v>
      </c>
      <c r="U4" s="16">
        <f>DATE(R4,S4,T4)</f>
        <v>44927</v>
      </c>
      <c r="V4" s="15" t="str">
        <f>TEXT(U4, "mmmm")</f>
        <v>January</v>
      </c>
      <c r="W4" s="15" t="str">
        <f>TEXT(U4, "yy")</f>
        <v>23</v>
      </c>
      <c r="Y4" t="s">
        <v>165</v>
      </c>
      <c r="Z4" s="13">
        <v>44621</v>
      </c>
      <c r="AA4" s="13">
        <f>Z4+14</f>
        <v>44635</v>
      </c>
      <c r="AI4" t="s">
        <v>94</v>
      </c>
      <c r="AJ4" t="s">
        <v>95</v>
      </c>
      <c r="AK4" t="s">
        <v>96</v>
      </c>
      <c r="AL4" s="28">
        <v>43601</v>
      </c>
      <c r="AM4" s="35">
        <v>90700</v>
      </c>
      <c r="AN4" s="15">
        <v>12</v>
      </c>
      <c r="AO4" s="38">
        <f>Table14[[#This Row],[Salary]]*Table14[[#This Row],[Convert]]</f>
        <v>1088400</v>
      </c>
      <c r="AQ4" s="39" t="s">
        <v>104</v>
      </c>
      <c r="AR4" s="31" t="str">
        <f>VLOOKUP(AQ4,Table14[[#Headers],[#Data],[Name]:[Salary]],2,FALSE)</f>
        <v>Male</v>
      </c>
      <c r="AS4" s="31" t="str">
        <f>VLOOKUP(AQ4,Table14[[#Headers],[#Data],[Name]:[Salary]],3,FALSE)</f>
        <v>Website</v>
      </c>
      <c r="AT4" s="31">
        <f>VLOOKUP(AQ4,Table14[[#Headers],[#Data],[Name]:[Salary]],4,FALSE)</f>
        <v>43303</v>
      </c>
      <c r="AU4" s="32">
        <f>VLOOKUP(AQ4,Table14[[#Headers],[#Data],[Name]:[Salary]],5,FALSE)</f>
        <v>88050</v>
      </c>
      <c r="AW4" s="19"/>
      <c r="BB4" s="71" t="s">
        <v>115</v>
      </c>
      <c r="BC4" s="177" t="s">
        <v>247</v>
      </c>
      <c r="BD4" s="11"/>
      <c r="BE4" s="2"/>
      <c r="BF4" s="180">
        <v>2</v>
      </c>
      <c r="BG4" s="169" t="s">
        <v>285</v>
      </c>
      <c r="BH4" s="163" t="s">
        <v>345</v>
      </c>
      <c r="BI4" s="164">
        <v>50.78</v>
      </c>
      <c r="BJ4" s="163" t="s">
        <v>287</v>
      </c>
      <c r="BK4" s="170">
        <v>56</v>
      </c>
    </row>
    <row r="5" spans="7:64" x14ac:dyDescent="0.25">
      <c r="G5" s="191" t="s">
        <v>68</v>
      </c>
      <c r="H5" s="192"/>
      <c r="I5" s="193"/>
      <c r="M5" s="13">
        <v>44564</v>
      </c>
      <c r="O5" s="17" t="s">
        <v>84</v>
      </c>
      <c r="P5" s="48">
        <f ca="1">NOW()</f>
        <v>46294.506048495372</v>
      </c>
      <c r="R5" s="15">
        <v>2022</v>
      </c>
      <c r="S5" s="15">
        <v>2</v>
      </c>
      <c r="T5" s="15">
        <v>2</v>
      </c>
      <c r="U5" s="16">
        <f t="shared" ref="U5:U18" si="0">DATE(R5,S5,T5)</f>
        <v>44594</v>
      </c>
      <c r="V5" s="15" t="str">
        <f t="shared" ref="V5:V18" si="1">TEXT(U5, "mmmm")</f>
        <v>February</v>
      </c>
      <c r="W5" s="15" t="str">
        <f t="shared" ref="W5:W18" si="2">TEXT(U5, "yy")</f>
        <v>22</v>
      </c>
      <c r="Y5" t="s">
        <v>176</v>
      </c>
      <c r="Z5" s="13">
        <v>44622</v>
      </c>
      <c r="AA5" s="13">
        <f t="shared" ref="AA5:AA17" si="3">Z5+14</f>
        <v>44636</v>
      </c>
      <c r="AI5" t="s">
        <v>98</v>
      </c>
      <c r="AJ5" t="s">
        <v>95</v>
      </c>
      <c r="AK5" t="s">
        <v>96</v>
      </c>
      <c r="AL5" s="28">
        <v>43476</v>
      </c>
      <c r="AM5" s="35">
        <v>48950</v>
      </c>
      <c r="AN5" s="15">
        <v>12</v>
      </c>
      <c r="AO5" s="38">
        <f>Table14[[#This Row],[Salary]]*Table14[[#This Row],[Convert]]</f>
        <v>587400</v>
      </c>
      <c r="AQ5" s="40" t="s">
        <v>108</v>
      </c>
      <c r="AR5" s="31" t="str">
        <f>VLOOKUP(AQ5,Table1,2,FALSE)</f>
        <v>Female</v>
      </c>
      <c r="AS5" s="31" t="str">
        <f>VLOOKUP(AQ5,Table1,3,FALSE)</f>
        <v>Website</v>
      </c>
      <c r="AT5" s="31">
        <f>VLOOKUP(AQ5,Table1,4,FALSE)</f>
        <v>43110</v>
      </c>
      <c r="AU5" s="32">
        <f>VLOOKUP(AQ5,Table1,5,FALSE)</f>
        <v>41980</v>
      </c>
      <c r="BB5" s="71" t="s">
        <v>116</v>
      </c>
      <c r="BC5" s="177" t="s">
        <v>248</v>
      </c>
      <c r="BD5" s="11"/>
      <c r="BE5" s="2"/>
      <c r="BF5" s="180">
        <v>3</v>
      </c>
      <c r="BG5" s="169" t="s">
        <v>288</v>
      </c>
      <c r="BH5" s="163" t="s">
        <v>297</v>
      </c>
      <c r="BI5" s="164">
        <v>23.26</v>
      </c>
      <c r="BJ5" s="163" t="s">
        <v>287</v>
      </c>
      <c r="BK5" s="170">
        <v>71</v>
      </c>
    </row>
    <row r="6" spans="7:64" ht="15.75" thickBot="1" x14ac:dyDescent="0.3">
      <c r="G6" s="139" t="s">
        <v>69</v>
      </c>
      <c r="H6" s="67"/>
      <c r="I6" s="10"/>
      <c r="M6" s="13">
        <v>44565</v>
      </c>
      <c r="R6" s="15">
        <v>2022</v>
      </c>
      <c r="S6" s="15">
        <v>3</v>
      </c>
      <c r="T6" s="15">
        <v>3</v>
      </c>
      <c r="U6" s="16">
        <f t="shared" si="0"/>
        <v>44623</v>
      </c>
      <c r="V6" s="15" t="str">
        <f t="shared" si="1"/>
        <v>March</v>
      </c>
      <c r="W6" s="15" t="str">
        <f t="shared" si="2"/>
        <v>22</v>
      </c>
      <c r="Y6" t="s">
        <v>177</v>
      </c>
      <c r="Z6" s="13">
        <v>44624</v>
      </c>
      <c r="AA6" s="13">
        <f t="shared" si="3"/>
        <v>44638</v>
      </c>
      <c r="AI6" t="s">
        <v>99</v>
      </c>
      <c r="AJ6" t="s">
        <v>95</v>
      </c>
      <c r="AK6" t="s">
        <v>100</v>
      </c>
      <c r="AL6" s="28">
        <v>43351</v>
      </c>
      <c r="AM6" s="35">
        <v>74550</v>
      </c>
      <c r="AN6" s="15">
        <v>12</v>
      </c>
      <c r="AO6" s="38">
        <f>Table14[[#This Row],[Salary]]*Table14[[#This Row],[Convert]]</f>
        <v>894600</v>
      </c>
      <c r="AQ6" s="40" t="s">
        <v>105</v>
      </c>
      <c r="AR6" s="31" t="str">
        <f>VLOOKUP(AQ6,Table2,2,FALSE)</f>
        <v>Female</v>
      </c>
      <c r="AS6" s="31"/>
      <c r="AT6" s="31"/>
      <c r="AU6" s="32"/>
      <c r="BB6" s="71" t="s">
        <v>117</v>
      </c>
      <c r="BC6" s="177" t="s">
        <v>277</v>
      </c>
      <c r="BD6" s="2"/>
      <c r="BE6" s="2"/>
      <c r="BF6" s="180">
        <v>4</v>
      </c>
      <c r="BG6" s="169" t="s">
        <v>291</v>
      </c>
      <c r="BH6" s="163" t="s">
        <v>297</v>
      </c>
      <c r="BI6" s="164">
        <v>21.22</v>
      </c>
      <c r="BJ6" s="163" t="s">
        <v>298</v>
      </c>
      <c r="BK6" s="170"/>
    </row>
    <row r="7" spans="7:64" x14ac:dyDescent="0.25">
      <c r="G7" s="191" t="s">
        <v>70</v>
      </c>
      <c r="H7" s="192"/>
      <c r="I7" s="193"/>
      <c r="M7" s="13">
        <v>44566</v>
      </c>
      <c r="P7" s="18"/>
      <c r="R7" s="15">
        <v>2022</v>
      </c>
      <c r="S7" s="15">
        <v>3</v>
      </c>
      <c r="T7" s="15">
        <v>4</v>
      </c>
      <c r="U7" s="16">
        <f t="shared" si="0"/>
        <v>44624</v>
      </c>
      <c r="V7" s="15" t="str">
        <f t="shared" si="1"/>
        <v>March</v>
      </c>
      <c r="W7" s="15" t="str">
        <f t="shared" si="2"/>
        <v>22</v>
      </c>
      <c r="Y7" t="s">
        <v>178</v>
      </c>
      <c r="Z7" s="13">
        <v>44623</v>
      </c>
      <c r="AA7" s="13">
        <f t="shared" si="3"/>
        <v>44637</v>
      </c>
      <c r="AI7" t="s">
        <v>101</v>
      </c>
      <c r="AJ7" t="s">
        <v>95</v>
      </c>
      <c r="AK7" t="s">
        <v>102</v>
      </c>
      <c r="AL7" s="28">
        <v>43560</v>
      </c>
      <c r="AM7" s="35">
        <v>59810</v>
      </c>
      <c r="AN7" s="15">
        <v>12</v>
      </c>
      <c r="AO7" s="38">
        <f>Table14[[#This Row],[Salary]]*Table14[[#This Row],[Convert]]</f>
        <v>717720</v>
      </c>
      <c r="AQ7" s="41">
        <v>43110</v>
      </c>
      <c r="AR7" s="34" t="e">
        <f>VLOOKUP(AQ7,Table1,2,FALSE)</f>
        <v>#N/A</v>
      </c>
      <c r="AT7" s="33"/>
      <c r="AU7" s="27"/>
      <c r="BB7" s="71" t="s">
        <v>118</v>
      </c>
      <c r="BC7" s="177" t="s">
        <v>241</v>
      </c>
      <c r="BD7" s="2"/>
      <c r="BE7" s="2"/>
      <c r="BF7" s="180">
        <v>5</v>
      </c>
      <c r="BG7" s="169" t="s">
        <v>293</v>
      </c>
      <c r="BH7" s="163" t="s">
        <v>283</v>
      </c>
      <c r="BI7" s="164">
        <v>190.01</v>
      </c>
      <c r="BJ7" s="163" t="s">
        <v>298</v>
      </c>
      <c r="BK7" s="170"/>
    </row>
    <row r="8" spans="7:64" ht="15.75" thickBot="1" x14ac:dyDescent="0.3">
      <c r="G8" s="139" t="s">
        <v>71</v>
      </c>
      <c r="H8" s="67"/>
      <c r="I8" s="10"/>
      <c r="M8" s="13">
        <v>44567</v>
      </c>
      <c r="R8" s="15">
        <v>2022</v>
      </c>
      <c r="S8" s="15">
        <v>3</v>
      </c>
      <c r="T8" s="15">
        <v>5</v>
      </c>
      <c r="U8" s="16">
        <f t="shared" si="0"/>
        <v>44625</v>
      </c>
      <c r="V8" s="15" t="str">
        <f t="shared" si="1"/>
        <v>March</v>
      </c>
      <c r="W8" s="15" t="str">
        <f t="shared" si="2"/>
        <v>22</v>
      </c>
      <c r="Y8" t="s">
        <v>179</v>
      </c>
      <c r="Z8" s="13">
        <v>44627</v>
      </c>
      <c r="AA8" s="13">
        <f t="shared" si="3"/>
        <v>44641</v>
      </c>
      <c r="AI8" t="s">
        <v>103</v>
      </c>
      <c r="AJ8" t="s">
        <v>95</v>
      </c>
      <c r="AK8" t="s">
        <v>96</v>
      </c>
      <c r="AL8" s="28">
        <v>43424</v>
      </c>
      <c r="AM8" s="35">
        <v>107700</v>
      </c>
      <c r="AN8" s="15">
        <v>12</v>
      </c>
      <c r="AO8" s="38">
        <f>Table14[[#This Row],[Salary]]*Table14[[#This Row],[Convert]]</f>
        <v>1292400</v>
      </c>
      <c r="BB8" s="71" t="s">
        <v>119</v>
      </c>
      <c r="BC8" s="177" t="s">
        <v>249</v>
      </c>
      <c r="BD8" s="2"/>
      <c r="BE8" s="2"/>
      <c r="BF8" s="180">
        <v>6</v>
      </c>
      <c r="BG8" s="169" t="s">
        <v>294</v>
      </c>
      <c r="BH8" s="163" t="s">
        <v>49</v>
      </c>
      <c r="BI8" s="164">
        <v>119.64</v>
      </c>
      <c r="BJ8" s="163" t="s">
        <v>290</v>
      </c>
      <c r="BK8" s="170">
        <v>7</v>
      </c>
    </row>
    <row r="9" spans="7:64" x14ac:dyDescent="0.25">
      <c r="G9" s="2"/>
      <c r="H9" s="2"/>
      <c r="I9" s="2"/>
      <c r="M9" s="13">
        <v>44568</v>
      </c>
      <c r="R9" s="15">
        <v>2022</v>
      </c>
      <c r="S9" s="15">
        <v>3</v>
      </c>
      <c r="T9" s="15">
        <v>6</v>
      </c>
      <c r="U9" s="16">
        <f t="shared" si="0"/>
        <v>44626</v>
      </c>
      <c r="V9" s="15" t="str">
        <f t="shared" si="1"/>
        <v>March</v>
      </c>
      <c r="W9" s="15" t="str">
        <f t="shared" si="2"/>
        <v>22</v>
      </c>
      <c r="Y9" t="s">
        <v>180</v>
      </c>
      <c r="Z9" s="13">
        <v>44628</v>
      </c>
      <c r="AA9" s="13">
        <f t="shared" si="3"/>
        <v>44642</v>
      </c>
      <c r="AI9" t="s">
        <v>104</v>
      </c>
      <c r="AJ9" t="s">
        <v>95</v>
      </c>
      <c r="AK9" t="s">
        <v>96</v>
      </c>
      <c r="AL9" s="28">
        <v>43303</v>
      </c>
      <c r="AM9" s="35">
        <v>88050</v>
      </c>
      <c r="AN9" s="15">
        <v>12</v>
      </c>
      <c r="AO9" s="38">
        <f>Table14[[#This Row],[Salary]]*Table14[[#This Row],[Convert]]</f>
        <v>1056600</v>
      </c>
      <c r="AQ9" s="19" t="s">
        <v>276</v>
      </c>
      <c r="AR9" s="20"/>
      <c r="BB9" s="71" t="s">
        <v>120</v>
      </c>
      <c r="BC9" s="179" t="s">
        <v>242</v>
      </c>
      <c r="BD9" s="2"/>
      <c r="BE9" s="2"/>
      <c r="BF9" s="180">
        <v>7</v>
      </c>
      <c r="BG9" s="169" t="s">
        <v>296</v>
      </c>
      <c r="BH9" s="163" t="s">
        <v>286</v>
      </c>
      <c r="BI9" s="164">
        <v>18.84</v>
      </c>
      <c r="BJ9" s="163" t="s">
        <v>171</v>
      </c>
      <c r="BK9" s="170">
        <v>38</v>
      </c>
    </row>
    <row r="10" spans="7:64" x14ac:dyDescent="0.25">
      <c r="G10" s="2"/>
      <c r="H10" s="2"/>
      <c r="I10" s="2"/>
      <c r="M10" s="13">
        <v>44580</v>
      </c>
      <c r="R10" s="15">
        <v>2022</v>
      </c>
      <c r="S10" s="15">
        <v>3</v>
      </c>
      <c r="T10" s="15">
        <v>7</v>
      </c>
      <c r="U10" s="16">
        <f t="shared" si="0"/>
        <v>44627</v>
      </c>
      <c r="V10" s="15" t="str">
        <f t="shared" si="1"/>
        <v>March</v>
      </c>
      <c r="W10" s="15" t="str">
        <f t="shared" si="2"/>
        <v>22</v>
      </c>
      <c r="Y10" t="s">
        <v>181</v>
      </c>
      <c r="Z10" s="13">
        <v>44629</v>
      </c>
      <c r="AA10" s="13">
        <f t="shared" si="3"/>
        <v>44643</v>
      </c>
      <c r="AI10" t="s">
        <v>97</v>
      </c>
      <c r="AJ10" t="s">
        <v>95</v>
      </c>
      <c r="AK10" t="s">
        <v>96</v>
      </c>
      <c r="AL10" s="28">
        <v>43238</v>
      </c>
      <c r="AM10" s="35">
        <v>69120</v>
      </c>
      <c r="AN10" s="15">
        <v>12</v>
      </c>
      <c r="AO10" s="38">
        <f>Table14[[#This Row],[Salary]]*Table14[[#This Row],[Convert]]</f>
        <v>829440</v>
      </c>
      <c r="AR10" s="23" t="s">
        <v>86</v>
      </c>
      <c r="AS10" s="23" t="s">
        <v>87</v>
      </c>
      <c r="AT10" s="23" t="s">
        <v>88</v>
      </c>
      <c r="AU10" s="22" t="s">
        <v>89</v>
      </c>
      <c r="AV10" s="50" t="s">
        <v>90</v>
      </c>
      <c r="BB10" s="71" t="s">
        <v>121</v>
      </c>
      <c r="BC10" s="179" t="s">
        <v>243</v>
      </c>
      <c r="BD10" s="2"/>
      <c r="BE10" s="2"/>
      <c r="BF10" s="180">
        <v>8</v>
      </c>
      <c r="BG10" s="169" t="s">
        <v>299</v>
      </c>
      <c r="BH10" s="163" t="s">
        <v>297</v>
      </c>
      <c r="BI10" s="164">
        <v>37.4</v>
      </c>
      <c r="BJ10" s="163" t="s">
        <v>287</v>
      </c>
      <c r="BK10" s="170">
        <v>74</v>
      </c>
    </row>
    <row r="11" spans="7:64" ht="15.75" thickBot="1" x14ac:dyDescent="0.3">
      <c r="G11" s="2"/>
      <c r="H11" s="2"/>
      <c r="I11" s="2"/>
      <c r="M11" s="13">
        <v>44571</v>
      </c>
      <c r="R11" s="15">
        <v>2022</v>
      </c>
      <c r="S11" s="15">
        <v>3</v>
      </c>
      <c r="T11" s="15">
        <v>7</v>
      </c>
      <c r="U11" s="16">
        <f t="shared" si="0"/>
        <v>44627</v>
      </c>
      <c r="V11" s="15" t="str">
        <f t="shared" si="1"/>
        <v>March</v>
      </c>
      <c r="W11" s="15" t="str">
        <f t="shared" si="2"/>
        <v>22</v>
      </c>
      <c r="Y11" t="s">
        <v>182</v>
      </c>
      <c r="Z11" s="13">
        <v>44630</v>
      </c>
      <c r="AA11" s="13">
        <f t="shared" si="3"/>
        <v>44644</v>
      </c>
      <c r="AI11" t="s">
        <v>105</v>
      </c>
      <c r="AJ11" t="s">
        <v>92</v>
      </c>
      <c r="AK11" t="s">
        <v>96</v>
      </c>
      <c r="AL11" s="28">
        <v>43628</v>
      </c>
      <c r="AM11" s="35">
        <v>58100</v>
      </c>
      <c r="AN11" s="15">
        <v>12</v>
      </c>
      <c r="AO11" s="38">
        <f>Table14[[#This Row],[Salary]]*Table14[[#This Row],[Convert]]</f>
        <v>697200</v>
      </c>
      <c r="AQ11" s="42">
        <v>69120</v>
      </c>
      <c r="AR11" t="str" cm="1">
        <f t="array" ref="AR11">_xlfn.XLOOKUP(AQ11,Table14[[#Headers],[#Data],[Salary]],Table14[[#Headers],[#Data],[Name]])</f>
        <v>Andria Kimpton</v>
      </c>
      <c r="AS11" t="str" cm="1">
        <f t="array" ref="AS11">_xlfn.XLOOKUP(AQ11,Table14[[#Headers],[#Data],[Salary]],Table14[[#Headers],[#Data],[Gender]])</f>
        <v>Male</v>
      </c>
      <c r="AT11" t="str" cm="1">
        <f t="array" ref="AT11">_xlfn.XLOOKUP(AQ11,Table14[[#Headers],[#Data],[Salary]],Table14[[#Headers],[#Data],[Department]])</f>
        <v>Website</v>
      </c>
      <c r="AU11" s="29" cm="1">
        <f t="array" ref="AU11">_xlfn.XLOOKUP(AQ11,Table14[[#Headers],[#Data],[Salary]],Table14[[#Headers],[#Data],[Date Joined]])</f>
        <v>43238</v>
      </c>
      <c r="AV11" s="27"/>
      <c r="BC11" s="24"/>
      <c r="BD11" s="2"/>
      <c r="BE11" s="2"/>
      <c r="BF11" s="180">
        <v>9</v>
      </c>
      <c r="BG11" s="169" t="s">
        <v>301</v>
      </c>
      <c r="BH11" s="163" t="s">
        <v>356</v>
      </c>
      <c r="BI11" s="164">
        <v>116.44</v>
      </c>
      <c r="BJ11" s="163" t="s">
        <v>171</v>
      </c>
      <c r="BK11" s="170">
        <v>14</v>
      </c>
    </row>
    <row r="12" spans="7:64" x14ac:dyDescent="0.25">
      <c r="G12" s="194" t="s">
        <v>72</v>
      </c>
      <c r="H12" s="195"/>
      <c r="I12" s="196"/>
      <c r="M12" s="13">
        <v>44573</v>
      </c>
      <c r="R12" s="15">
        <v>2022</v>
      </c>
      <c r="S12" s="15">
        <v>3</v>
      </c>
      <c r="T12" s="15">
        <v>8</v>
      </c>
      <c r="U12" s="16">
        <f t="shared" si="0"/>
        <v>44628</v>
      </c>
      <c r="V12" s="15" t="str">
        <f t="shared" si="1"/>
        <v>March</v>
      </c>
      <c r="W12" s="15" t="str">
        <f t="shared" si="2"/>
        <v>22</v>
      </c>
      <c r="Y12" t="s">
        <v>183</v>
      </c>
      <c r="Z12" s="13">
        <v>44631</v>
      </c>
      <c r="AA12" s="13">
        <f t="shared" si="3"/>
        <v>44645</v>
      </c>
      <c r="AI12" t="s">
        <v>106</v>
      </c>
      <c r="AJ12" t="s">
        <v>92</v>
      </c>
      <c r="AK12" t="s">
        <v>102</v>
      </c>
      <c r="AL12" s="28">
        <v>43355</v>
      </c>
      <c r="AM12" s="35">
        <v>67910</v>
      </c>
      <c r="AN12" s="15">
        <v>12</v>
      </c>
      <c r="AO12" s="38">
        <f>Table14[[#This Row],[Salary]]*Table14[[#This Row],[Convert]]</f>
        <v>814920</v>
      </c>
      <c r="AQ12" s="15"/>
      <c r="AR12" s="20"/>
      <c r="AU12" s="29"/>
      <c r="AV12" s="27"/>
      <c r="BB12" s="2"/>
      <c r="BC12" s="11"/>
      <c r="BD12" s="2"/>
      <c r="BE12" s="2"/>
      <c r="BF12" s="180">
        <v>10</v>
      </c>
      <c r="BG12" s="169" t="s">
        <v>303</v>
      </c>
      <c r="BH12" s="163" t="s">
        <v>326</v>
      </c>
      <c r="BI12" s="164">
        <v>118.52</v>
      </c>
      <c r="BJ12" s="163" t="s">
        <v>292</v>
      </c>
      <c r="BK12" s="170"/>
    </row>
    <row r="13" spans="7:64" ht="15.75" thickBot="1" x14ac:dyDescent="0.3">
      <c r="G13" s="154" t="s">
        <v>73</v>
      </c>
      <c r="H13" s="67"/>
      <c r="I13" s="10"/>
      <c r="M13" s="13">
        <v>44574</v>
      </c>
      <c r="R13" s="15">
        <v>2022</v>
      </c>
      <c r="S13" s="15">
        <v>3</v>
      </c>
      <c r="T13" s="15">
        <v>9</v>
      </c>
      <c r="U13" s="16">
        <f t="shared" si="0"/>
        <v>44629</v>
      </c>
      <c r="V13" s="15" t="str">
        <f t="shared" si="1"/>
        <v>March</v>
      </c>
      <c r="W13" s="15" t="str">
        <f t="shared" si="2"/>
        <v>22</v>
      </c>
      <c r="Y13" t="s">
        <v>184</v>
      </c>
      <c r="Z13" s="13">
        <v>44634</v>
      </c>
      <c r="AA13" s="13">
        <f t="shared" si="3"/>
        <v>44648</v>
      </c>
      <c r="AI13" t="s">
        <v>107</v>
      </c>
      <c r="AJ13" t="s">
        <v>95</v>
      </c>
      <c r="AK13" t="s">
        <v>102</v>
      </c>
      <c r="AL13" s="28">
        <v>43007</v>
      </c>
      <c r="AM13" s="35">
        <v>48170</v>
      </c>
      <c r="AN13" s="15">
        <v>12</v>
      </c>
      <c r="AO13" s="38">
        <f>Table14[[#This Row],[Salary]]*Table14[[#This Row],[Convert]]</f>
        <v>578040</v>
      </c>
      <c r="AQ13" s="28">
        <v>43618</v>
      </c>
      <c r="AR13" t="str" cm="1">
        <f t="array" ref="AR13">_xlfn.XLOOKUP(AQ13,Table14[[#Headers],[#Data],[Date Joined]],Table14[[#Headers],[#Data],[Name]])</f>
        <v>Oby Sorrel</v>
      </c>
      <c r="AU13" s="29"/>
      <c r="AV13" s="27"/>
      <c r="BB13" s="2"/>
      <c r="BC13" s="176" t="s">
        <v>4</v>
      </c>
      <c r="BD13" s="2"/>
      <c r="BE13" s="2"/>
      <c r="BF13" s="180">
        <v>11</v>
      </c>
      <c r="BG13" s="169" t="s">
        <v>304</v>
      </c>
      <c r="BH13" s="163" t="s">
        <v>306</v>
      </c>
      <c r="BI13" s="164">
        <v>28.5</v>
      </c>
      <c r="BJ13" s="163" t="s">
        <v>287</v>
      </c>
      <c r="BK13" s="170">
        <v>73</v>
      </c>
    </row>
    <row r="14" spans="7:64" ht="15.75" thickBot="1" x14ac:dyDescent="0.3">
      <c r="G14" s="2"/>
      <c r="H14" s="2"/>
      <c r="I14" s="2"/>
      <c r="M14" s="13">
        <v>44575</v>
      </c>
      <c r="R14" s="15">
        <v>2022</v>
      </c>
      <c r="S14" s="15">
        <v>3</v>
      </c>
      <c r="T14" s="15">
        <v>10</v>
      </c>
      <c r="U14" s="16">
        <f t="shared" si="0"/>
        <v>44630</v>
      </c>
      <c r="V14" s="15" t="str">
        <f t="shared" si="1"/>
        <v>March</v>
      </c>
      <c r="W14" s="15" t="str">
        <f t="shared" si="2"/>
        <v>22</v>
      </c>
      <c r="Y14" t="s">
        <v>185</v>
      </c>
      <c r="Z14" s="13">
        <v>44635</v>
      </c>
      <c r="AA14" s="13">
        <f t="shared" si="3"/>
        <v>44649</v>
      </c>
      <c r="AI14" t="s">
        <v>108</v>
      </c>
      <c r="AJ14" t="s">
        <v>92</v>
      </c>
      <c r="AK14" t="s">
        <v>96</v>
      </c>
      <c r="AL14" s="28">
        <v>43110</v>
      </c>
      <c r="AM14" s="35">
        <v>41980</v>
      </c>
      <c r="AN14" s="15">
        <v>12</v>
      </c>
      <c r="AO14" s="38">
        <f>Table14[[#This Row],[Salary]]*Table14[[#This Row],[Convert]]</f>
        <v>503760</v>
      </c>
      <c r="AQ14" s="15"/>
      <c r="AU14" s="29"/>
      <c r="AV14" s="27"/>
      <c r="BB14" s="2"/>
      <c r="BC14" s="175" t="s">
        <v>363</v>
      </c>
      <c r="BD14" s="2"/>
      <c r="BE14" s="2"/>
      <c r="BF14" s="180">
        <v>12</v>
      </c>
      <c r="BG14" s="169" t="s">
        <v>305</v>
      </c>
      <c r="BH14" s="163" t="s">
        <v>49</v>
      </c>
      <c r="BI14" s="164">
        <v>127.6</v>
      </c>
      <c r="BJ14" s="163" t="s">
        <v>308</v>
      </c>
      <c r="BK14" s="170">
        <v>88</v>
      </c>
    </row>
    <row r="15" spans="7:64" x14ac:dyDescent="0.25">
      <c r="G15" s="194" t="s">
        <v>74</v>
      </c>
      <c r="H15" s="195"/>
      <c r="I15" s="196"/>
      <c r="M15" s="13">
        <v>44578</v>
      </c>
      <c r="R15" s="15">
        <v>2022</v>
      </c>
      <c r="S15" s="15">
        <v>3</v>
      </c>
      <c r="T15" s="15">
        <v>11</v>
      </c>
      <c r="U15" s="16">
        <f t="shared" si="0"/>
        <v>44631</v>
      </c>
      <c r="V15" s="15" t="str">
        <f t="shared" si="1"/>
        <v>March</v>
      </c>
      <c r="W15" s="15" t="str">
        <f t="shared" si="2"/>
        <v>22</v>
      </c>
      <c r="Y15" t="s">
        <v>186</v>
      </c>
      <c r="Z15" s="13">
        <v>44636</v>
      </c>
      <c r="AA15" s="13">
        <f t="shared" si="3"/>
        <v>44650</v>
      </c>
      <c r="AI15" t="s">
        <v>109</v>
      </c>
      <c r="AJ15" t="s">
        <v>92</v>
      </c>
      <c r="AK15" t="s">
        <v>102</v>
      </c>
      <c r="AL15" s="28">
        <v>43282</v>
      </c>
      <c r="AM15" s="35">
        <v>65920</v>
      </c>
      <c r="AN15" s="15">
        <v>12</v>
      </c>
      <c r="AO15" s="38">
        <f>Table14[[#This Row],[Salary]]*Table14[[#This Row],[Convert]]</f>
        <v>791040</v>
      </c>
      <c r="AQ15" s="43">
        <v>65920</v>
      </c>
      <c r="AR15" s="21"/>
      <c r="AS15" s="21"/>
      <c r="AT15" s="21"/>
      <c r="AU15" s="30"/>
      <c r="AV15" s="52"/>
      <c r="BB15" s="2"/>
      <c r="BC15" s="175" t="s">
        <v>364</v>
      </c>
      <c r="BD15" s="2"/>
      <c r="BE15" s="2"/>
      <c r="BF15" s="180">
        <v>13</v>
      </c>
      <c r="BG15" s="169" t="s">
        <v>307</v>
      </c>
      <c r="BH15" s="163" t="s">
        <v>289</v>
      </c>
      <c r="BI15" s="164">
        <v>91.23</v>
      </c>
      <c r="BJ15" s="163" t="s">
        <v>169</v>
      </c>
      <c r="BK15" s="170">
        <v>60</v>
      </c>
    </row>
    <row r="16" spans="7:64" ht="15.75" thickBot="1" x14ac:dyDescent="0.3">
      <c r="G16" s="154">
        <v>9204591371</v>
      </c>
      <c r="H16" s="67"/>
      <c r="I16" s="10"/>
      <c r="M16" s="13">
        <v>44579</v>
      </c>
      <c r="R16" s="15">
        <v>2022</v>
      </c>
      <c r="S16" s="15">
        <v>3</v>
      </c>
      <c r="T16" s="15">
        <v>12</v>
      </c>
      <c r="U16" s="16">
        <f t="shared" si="0"/>
        <v>44632</v>
      </c>
      <c r="V16" s="15" t="str">
        <f t="shared" si="1"/>
        <v>March</v>
      </c>
      <c r="W16" s="15" t="str">
        <f t="shared" si="2"/>
        <v>22</v>
      </c>
      <c r="Y16" t="s">
        <v>187</v>
      </c>
      <c r="Z16" s="13">
        <v>44637</v>
      </c>
      <c r="AA16" s="13">
        <f t="shared" si="3"/>
        <v>44651</v>
      </c>
      <c r="AI16" t="s">
        <v>110</v>
      </c>
      <c r="AJ16" t="s">
        <v>92</v>
      </c>
      <c r="AK16" t="s">
        <v>100</v>
      </c>
      <c r="AL16" s="28">
        <v>43342</v>
      </c>
      <c r="AM16" s="35">
        <v>109160</v>
      </c>
      <c r="AN16" s="15">
        <v>12</v>
      </c>
      <c r="AO16" s="38">
        <f>Table14[[#This Row],[Salary]]*Table14[[#This Row],[Convert]]</f>
        <v>1309920</v>
      </c>
      <c r="BB16" s="2"/>
      <c r="BC16" s="175" t="s">
        <v>353</v>
      </c>
      <c r="BD16" s="2"/>
      <c r="BE16" s="2"/>
      <c r="BF16" s="180">
        <v>14</v>
      </c>
      <c r="BG16" s="169" t="s">
        <v>309</v>
      </c>
      <c r="BH16" s="163" t="s">
        <v>326</v>
      </c>
      <c r="BI16" s="164">
        <v>185.44</v>
      </c>
      <c r="BJ16" s="163" t="s">
        <v>169</v>
      </c>
      <c r="BK16" s="170">
        <v>39</v>
      </c>
    </row>
    <row r="17" spans="7:63" ht="15.75" thickBot="1" x14ac:dyDescent="0.3">
      <c r="G17" s="2"/>
      <c r="H17" s="2"/>
      <c r="I17" s="2"/>
      <c r="M17" s="13">
        <v>44580</v>
      </c>
      <c r="R17" s="15">
        <v>2022</v>
      </c>
      <c r="S17" s="15">
        <v>3</v>
      </c>
      <c r="T17" s="15">
        <v>13</v>
      </c>
      <c r="U17" s="16">
        <f t="shared" si="0"/>
        <v>44633</v>
      </c>
      <c r="V17" s="15" t="str">
        <f t="shared" si="1"/>
        <v>March</v>
      </c>
      <c r="W17" s="15" t="str">
        <f t="shared" si="2"/>
        <v>22</v>
      </c>
      <c r="Y17" t="s">
        <v>188</v>
      </c>
      <c r="Z17" s="13">
        <v>44638</v>
      </c>
      <c r="AA17" s="13">
        <f t="shared" si="3"/>
        <v>44652</v>
      </c>
      <c r="AI17" t="s">
        <v>111</v>
      </c>
      <c r="AJ17" t="s">
        <v>92</v>
      </c>
      <c r="AK17" t="s">
        <v>102</v>
      </c>
      <c r="AL17" s="28">
        <v>43151</v>
      </c>
      <c r="AM17" s="35">
        <v>75970</v>
      </c>
      <c r="AN17" s="15">
        <v>12</v>
      </c>
      <c r="AO17" s="38">
        <f>Table14[[#This Row],[Salary]]*Table14[[#This Row],[Convert]]</f>
        <v>911640</v>
      </c>
      <c r="BB17" s="2"/>
      <c r="BC17" s="175" t="s">
        <v>365</v>
      </c>
      <c r="BD17" s="2"/>
      <c r="BE17" s="2"/>
      <c r="BF17" s="180">
        <v>15</v>
      </c>
      <c r="BG17" s="169" t="s">
        <v>310</v>
      </c>
      <c r="BH17" s="163" t="s">
        <v>286</v>
      </c>
      <c r="BI17" s="164">
        <v>160.91999999999999</v>
      </c>
      <c r="BJ17" s="163" t="s">
        <v>292</v>
      </c>
      <c r="BK17" s="170">
        <v>11</v>
      </c>
    </row>
    <row r="18" spans="7:63" ht="15.75" thickBot="1" x14ac:dyDescent="0.3">
      <c r="G18" s="143" t="s">
        <v>266</v>
      </c>
      <c r="H18" s="144"/>
      <c r="I18" s="141" t="s">
        <v>267</v>
      </c>
      <c r="J18" s="141" t="s">
        <v>268</v>
      </c>
      <c r="K18" s="142" t="s">
        <v>269</v>
      </c>
      <c r="L18" s="152"/>
      <c r="M18" s="13">
        <v>44581</v>
      </c>
      <c r="R18" s="15">
        <v>2022</v>
      </c>
      <c r="S18" s="15">
        <v>3</v>
      </c>
      <c r="T18" s="15">
        <v>14</v>
      </c>
      <c r="U18" s="16">
        <f t="shared" si="0"/>
        <v>44634</v>
      </c>
      <c r="V18" s="15" t="str">
        <f t="shared" si="1"/>
        <v>March</v>
      </c>
      <c r="W18" s="15" t="str">
        <f t="shared" si="2"/>
        <v>22</v>
      </c>
      <c r="AI18" t="s">
        <v>112</v>
      </c>
      <c r="AJ18" t="s">
        <v>92</v>
      </c>
      <c r="AK18" t="s">
        <v>102</v>
      </c>
      <c r="AL18" s="28">
        <v>43618</v>
      </c>
      <c r="AM18" s="35">
        <v>58940</v>
      </c>
      <c r="AN18" s="15">
        <v>12</v>
      </c>
      <c r="AO18" s="38">
        <f>Table14[[#This Row],[Salary]]*Table14[[#This Row],[Convert]]</f>
        <v>707280</v>
      </c>
      <c r="BB18" s="2"/>
      <c r="BC18" s="175" t="s">
        <v>366</v>
      </c>
      <c r="BD18" s="2"/>
      <c r="BE18" s="2"/>
      <c r="BF18" s="180">
        <v>16</v>
      </c>
      <c r="BG18" s="169" t="s">
        <v>311</v>
      </c>
      <c r="BH18" s="163" t="s">
        <v>326</v>
      </c>
      <c r="BI18" s="164">
        <v>67.040000000000006</v>
      </c>
      <c r="BJ18" s="163" t="s">
        <v>308</v>
      </c>
      <c r="BK18" s="170">
        <v>44</v>
      </c>
    </row>
    <row r="19" spans="7:63" ht="15.75" thickBot="1" x14ac:dyDescent="0.3">
      <c r="G19" s="145"/>
      <c r="H19" s="146"/>
      <c r="I19" s="147"/>
      <c r="J19" s="148"/>
      <c r="K19" s="149"/>
      <c r="L19" s="5"/>
      <c r="M19" s="13">
        <v>44586</v>
      </c>
      <c r="V19" s="16"/>
      <c r="W19" s="16"/>
      <c r="Z19" s="13"/>
      <c r="AA19" s="13"/>
      <c r="AM19" s="35"/>
      <c r="BB19" s="2"/>
      <c r="BC19" s="175" t="s">
        <v>367</v>
      </c>
      <c r="BD19" s="2"/>
      <c r="BE19" s="2"/>
      <c r="BF19" s="180">
        <v>17</v>
      </c>
      <c r="BG19" s="169" t="s">
        <v>312</v>
      </c>
      <c r="BH19" s="163" t="s">
        <v>329</v>
      </c>
      <c r="BI19" s="164">
        <v>64.7</v>
      </c>
      <c r="BJ19" s="163" t="s">
        <v>287</v>
      </c>
      <c r="BK19" s="170">
        <v>16</v>
      </c>
    </row>
    <row r="20" spans="7:63" ht="15.75" thickBot="1" x14ac:dyDescent="0.3">
      <c r="G20" s="2"/>
      <c r="H20" s="2"/>
      <c r="I20" s="2"/>
      <c r="M20" s="13">
        <v>44582</v>
      </c>
      <c r="U20" s="16"/>
      <c r="V20" s="16"/>
      <c r="W20" s="16"/>
      <c r="BC20" s="175" t="s">
        <v>368</v>
      </c>
      <c r="BF20" s="180">
        <v>18</v>
      </c>
      <c r="BG20" s="169" t="s">
        <v>313</v>
      </c>
      <c r="BH20" s="163" t="s">
        <v>345</v>
      </c>
      <c r="BI20" s="164">
        <v>89.43</v>
      </c>
      <c r="BJ20" s="163" t="s">
        <v>169</v>
      </c>
      <c r="BK20" s="170">
        <v>20</v>
      </c>
    </row>
    <row r="21" spans="7:63" x14ac:dyDescent="0.25">
      <c r="G21" s="194" t="s">
        <v>75</v>
      </c>
      <c r="H21" s="195"/>
      <c r="I21" s="196"/>
      <c r="M21" s="13">
        <v>44585</v>
      </c>
      <c r="V21" s="16"/>
      <c r="W21" s="16"/>
      <c r="BC21" s="175" t="s">
        <v>369</v>
      </c>
      <c r="BF21" s="180">
        <v>19</v>
      </c>
      <c r="BG21" s="169" t="s">
        <v>314</v>
      </c>
      <c r="BH21" s="163" t="s">
        <v>357</v>
      </c>
      <c r="BI21" s="164">
        <v>90.11</v>
      </c>
      <c r="BJ21" s="163" t="s">
        <v>287</v>
      </c>
      <c r="BK21" s="170">
        <v>98</v>
      </c>
    </row>
    <row r="22" spans="7:63" ht="15.75" thickBot="1" x14ac:dyDescent="0.3">
      <c r="G22" s="139"/>
      <c r="H22" s="150"/>
      <c r="I22" s="151"/>
      <c r="M22" s="13">
        <v>44587</v>
      </c>
      <c r="V22" s="16"/>
      <c r="W22" s="16"/>
      <c r="AP22">
        <v>1</v>
      </c>
      <c r="AQ22" t="s">
        <v>237</v>
      </c>
      <c r="BC22" s="175" t="s">
        <v>354</v>
      </c>
      <c r="BF22" s="180">
        <v>20</v>
      </c>
      <c r="BG22" s="169" t="s">
        <v>316</v>
      </c>
      <c r="BH22" s="163" t="s">
        <v>289</v>
      </c>
      <c r="BI22" s="164">
        <v>118.86</v>
      </c>
      <c r="BJ22" s="163" t="s">
        <v>169</v>
      </c>
      <c r="BK22" s="170">
        <v>44</v>
      </c>
    </row>
    <row r="23" spans="7:63" x14ac:dyDescent="0.25">
      <c r="G23" s="2"/>
      <c r="H23" s="2"/>
      <c r="I23" s="2"/>
      <c r="M23" s="13">
        <v>44588</v>
      </c>
      <c r="V23" s="16"/>
      <c r="W23" s="16"/>
      <c r="AP23">
        <v>2</v>
      </c>
      <c r="AQ23" t="s">
        <v>238</v>
      </c>
      <c r="BF23" s="180">
        <v>21</v>
      </c>
      <c r="BG23" s="169" t="s">
        <v>317</v>
      </c>
      <c r="BH23" s="163" t="s">
        <v>306</v>
      </c>
      <c r="BI23" s="164">
        <v>122.92</v>
      </c>
      <c r="BJ23" s="163" t="s">
        <v>298</v>
      </c>
      <c r="BK23" s="170"/>
    </row>
    <row r="24" spans="7:63" x14ac:dyDescent="0.25">
      <c r="G24" s="2"/>
      <c r="H24" s="2"/>
      <c r="I24" s="2"/>
      <c r="M24" s="13">
        <v>44589</v>
      </c>
      <c r="V24" s="16"/>
      <c r="W24" s="16"/>
      <c r="AP24">
        <v>3</v>
      </c>
      <c r="AQ24" t="s">
        <v>239</v>
      </c>
      <c r="BF24" s="180">
        <v>22</v>
      </c>
      <c r="BG24" s="169" t="s">
        <v>318</v>
      </c>
      <c r="BH24" s="163" t="s">
        <v>329</v>
      </c>
      <c r="BI24" s="164">
        <v>23.05</v>
      </c>
      <c r="BJ24" s="163" t="s">
        <v>287</v>
      </c>
      <c r="BK24" s="170">
        <v>35</v>
      </c>
    </row>
    <row r="25" spans="7:63" x14ac:dyDescent="0.25">
      <c r="G25" s="2"/>
      <c r="H25" s="2"/>
      <c r="I25" s="2"/>
      <c r="M25" s="13">
        <v>44592</v>
      </c>
      <c r="V25" s="16"/>
      <c r="W25" s="16"/>
      <c r="BF25" s="180">
        <v>23</v>
      </c>
      <c r="BG25" s="169" t="s">
        <v>320</v>
      </c>
      <c r="BH25" s="163" t="s">
        <v>357</v>
      </c>
      <c r="BI25" s="164">
        <v>142.43</v>
      </c>
      <c r="BJ25" s="163" t="s">
        <v>287</v>
      </c>
      <c r="BK25" s="170">
        <v>8</v>
      </c>
    </row>
    <row r="26" spans="7:63" x14ac:dyDescent="0.25">
      <c r="G26" s="2"/>
      <c r="H26" s="2"/>
      <c r="I26" s="2"/>
      <c r="M26" s="13">
        <v>44593</v>
      </c>
      <c r="V26" s="16"/>
      <c r="W26" s="16"/>
      <c r="BF26" s="180">
        <v>24</v>
      </c>
      <c r="BG26" s="169" t="s">
        <v>321</v>
      </c>
      <c r="BH26" s="163" t="s">
        <v>356</v>
      </c>
      <c r="BI26" s="164">
        <v>132.94</v>
      </c>
      <c r="BJ26" s="163" t="s">
        <v>308</v>
      </c>
      <c r="BK26" s="170">
        <v>37</v>
      </c>
    </row>
    <row r="27" spans="7:63" x14ac:dyDescent="0.25">
      <c r="G27" s="2"/>
      <c r="H27" s="2"/>
      <c r="I27" s="2"/>
      <c r="M27" s="13">
        <v>44594</v>
      </c>
      <c r="V27" s="16"/>
      <c r="W27" s="16"/>
      <c r="BF27" s="180">
        <v>25</v>
      </c>
      <c r="BG27" s="169" t="s">
        <v>322</v>
      </c>
      <c r="BH27" s="163" t="s">
        <v>315</v>
      </c>
      <c r="BI27" s="164">
        <v>178.53</v>
      </c>
      <c r="BJ27" s="163" t="s">
        <v>169</v>
      </c>
      <c r="BK27" s="170">
        <v>3</v>
      </c>
    </row>
    <row r="28" spans="7:63" x14ac:dyDescent="0.25">
      <c r="G28" s="2"/>
      <c r="H28" s="2"/>
      <c r="I28" s="2"/>
      <c r="M28" s="13">
        <v>44595</v>
      </c>
      <c r="V28" s="16"/>
      <c r="W28" s="16"/>
      <c r="BF28" s="180">
        <v>26</v>
      </c>
      <c r="BG28" s="169" t="s">
        <v>323</v>
      </c>
      <c r="BH28" s="163" t="s">
        <v>329</v>
      </c>
      <c r="BI28" s="164">
        <v>77.53</v>
      </c>
      <c r="BJ28" s="163" t="s">
        <v>298</v>
      </c>
      <c r="BK28" s="170"/>
    </row>
    <row r="29" spans="7:63" x14ac:dyDescent="0.25">
      <c r="G29" s="2"/>
      <c r="H29" s="2"/>
      <c r="I29" s="2"/>
      <c r="M29" s="13">
        <v>44596</v>
      </c>
      <c r="V29" s="16"/>
      <c r="W29" s="16"/>
      <c r="BF29" s="180">
        <v>27</v>
      </c>
      <c r="BG29" s="169" t="s">
        <v>324</v>
      </c>
      <c r="BH29" s="163" t="s">
        <v>283</v>
      </c>
      <c r="BI29" s="164">
        <v>103.79</v>
      </c>
      <c r="BJ29" s="163" t="s">
        <v>292</v>
      </c>
      <c r="BK29" s="170">
        <v>99</v>
      </c>
    </row>
    <row r="30" spans="7:63" x14ac:dyDescent="0.25">
      <c r="G30" s="2"/>
      <c r="H30" s="2"/>
      <c r="I30" s="2"/>
      <c r="M30" s="13">
        <v>44599</v>
      </c>
      <c r="V30" s="16"/>
      <c r="W30" s="16"/>
      <c r="BF30" s="180">
        <v>28</v>
      </c>
      <c r="BG30" s="169" t="s">
        <v>325</v>
      </c>
      <c r="BH30" s="163" t="s">
        <v>356</v>
      </c>
      <c r="BI30" s="164">
        <v>34.56</v>
      </c>
      <c r="BJ30" s="163" t="s">
        <v>292</v>
      </c>
      <c r="BK30" s="170">
        <v>51</v>
      </c>
    </row>
    <row r="31" spans="7:63" x14ac:dyDescent="0.25">
      <c r="G31" s="2"/>
      <c r="H31" s="2"/>
      <c r="I31" s="2"/>
      <c r="M31" s="13">
        <v>44600</v>
      </c>
      <c r="V31" s="16"/>
      <c r="W31" s="16"/>
      <c r="BF31" s="180">
        <v>29</v>
      </c>
      <c r="BG31" s="169" t="s">
        <v>327</v>
      </c>
      <c r="BH31" s="163" t="s">
        <v>315</v>
      </c>
      <c r="BI31" s="164">
        <v>184.19</v>
      </c>
      <c r="BJ31" s="163" t="s">
        <v>308</v>
      </c>
      <c r="BK31" s="170">
        <v>11</v>
      </c>
    </row>
    <row r="32" spans="7:63" x14ac:dyDescent="0.25">
      <c r="G32" s="2"/>
      <c r="H32" s="2"/>
      <c r="I32" s="2"/>
      <c r="M32" s="13">
        <v>44601</v>
      </c>
      <c r="V32" s="16"/>
      <c r="W32" s="16"/>
      <c r="BF32" s="180">
        <v>30</v>
      </c>
      <c r="BG32" s="169" t="s">
        <v>328</v>
      </c>
      <c r="BH32" s="163" t="s">
        <v>302</v>
      </c>
      <c r="BI32" s="164">
        <v>95.34</v>
      </c>
      <c r="BJ32" s="163" t="s">
        <v>295</v>
      </c>
      <c r="BK32" s="170">
        <v>36</v>
      </c>
    </row>
    <row r="33" spans="1:63" x14ac:dyDescent="0.25">
      <c r="G33" s="2"/>
      <c r="H33" s="2"/>
      <c r="I33" s="2"/>
      <c r="M33" s="13">
        <v>44602</v>
      </c>
      <c r="V33" s="16"/>
      <c r="W33" s="16"/>
      <c r="BF33" s="180">
        <v>31</v>
      </c>
      <c r="BG33" s="169" t="s">
        <v>330</v>
      </c>
      <c r="BH33" s="163" t="s">
        <v>334</v>
      </c>
      <c r="BI33" s="164">
        <v>165.65</v>
      </c>
      <c r="BJ33" s="163" t="s">
        <v>295</v>
      </c>
      <c r="BK33" s="170">
        <v>36</v>
      </c>
    </row>
    <row r="34" spans="1:63" x14ac:dyDescent="0.25">
      <c r="G34" s="2"/>
      <c r="H34" s="2"/>
      <c r="I34" s="2"/>
      <c r="M34" s="13">
        <v>44603</v>
      </c>
      <c r="V34" s="16"/>
      <c r="W34" s="16"/>
      <c r="BF34" s="180">
        <v>32</v>
      </c>
      <c r="BG34" s="169" t="s">
        <v>331</v>
      </c>
      <c r="BH34" s="163" t="s">
        <v>297</v>
      </c>
      <c r="BI34" s="164">
        <v>197.42</v>
      </c>
      <c r="BJ34" s="163" t="s">
        <v>290</v>
      </c>
      <c r="BK34" s="170">
        <v>30</v>
      </c>
    </row>
    <row r="35" spans="1:63" x14ac:dyDescent="0.25">
      <c r="M35" s="13">
        <v>44606</v>
      </c>
      <c r="V35" s="16"/>
      <c r="W35" s="16"/>
      <c r="BF35" s="180">
        <v>33</v>
      </c>
      <c r="BG35" s="169" t="s">
        <v>332</v>
      </c>
      <c r="BH35" s="163" t="s">
        <v>334</v>
      </c>
      <c r="BI35" s="164">
        <v>25.76</v>
      </c>
      <c r="BJ35" s="163" t="s">
        <v>171</v>
      </c>
      <c r="BK35" s="170">
        <v>30</v>
      </c>
    </row>
    <row r="36" spans="1:63" x14ac:dyDescent="0.25">
      <c r="M36" s="13">
        <v>44607</v>
      </c>
      <c r="V36" s="16"/>
      <c r="W36" s="16"/>
      <c r="BF36" s="180">
        <v>34</v>
      </c>
      <c r="BG36" s="169" t="s">
        <v>333</v>
      </c>
      <c r="BH36" s="163" t="s">
        <v>286</v>
      </c>
      <c r="BI36" s="164">
        <v>12.28</v>
      </c>
      <c r="BJ36" s="163" t="s">
        <v>298</v>
      </c>
      <c r="BK36" s="170">
        <v>24</v>
      </c>
    </row>
    <row r="37" spans="1:63" x14ac:dyDescent="0.25">
      <c r="M37" s="13">
        <v>44608</v>
      </c>
      <c r="V37" s="16"/>
      <c r="W37" s="16"/>
      <c r="BF37" s="180">
        <v>35</v>
      </c>
      <c r="BG37" s="169" t="s">
        <v>335</v>
      </c>
      <c r="BH37" s="163" t="s">
        <v>300</v>
      </c>
      <c r="BI37" s="164">
        <v>63.56</v>
      </c>
      <c r="BJ37" s="163" t="s">
        <v>171</v>
      </c>
      <c r="BK37" s="170">
        <v>54</v>
      </c>
    </row>
    <row r="38" spans="1:63" x14ac:dyDescent="0.25">
      <c r="M38" s="13">
        <v>44609</v>
      </c>
      <c r="V38" s="16"/>
      <c r="W38" s="16"/>
      <c r="BF38" s="180">
        <v>36</v>
      </c>
      <c r="BG38" s="169" t="s">
        <v>336</v>
      </c>
      <c r="BH38" s="163" t="s">
        <v>289</v>
      </c>
      <c r="BI38" s="164">
        <v>80.150000000000006</v>
      </c>
      <c r="BJ38" s="163" t="s">
        <v>298</v>
      </c>
      <c r="BK38" s="170">
        <v>41</v>
      </c>
    </row>
    <row r="39" spans="1:63" x14ac:dyDescent="0.25">
      <c r="M39" s="13">
        <v>44610</v>
      </c>
      <c r="V39" s="16"/>
      <c r="W39" s="16"/>
      <c r="BF39" s="180">
        <v>37</v>
      </c>
      <c r="BG39" s="169" t="s">
        <v>337</v>
      </c>
      <c r="BH39" s="163" t="s">
        <v>334</v>
      </c>
      <c r="BI39" s="164">
        <v>141.18</v>
      </c>
      <c r="BJ39" s="163" t="s">
        <v>295</v>
      </c>
      <c r="BK39" s="170">
        <v>80</v>
      </c>
    </row>
    <row r="40" spans="1:63" x14ac:dyDescent="0.25">
      <c r="M40" s="13">
        <v>44613</v>
      </c>
      <c r="V40" s="16"/>
      <c r="W40" s="16"/>
      <c r="BF40" s="180">
        <v>38</v>
      </c>
      <c r="BG40" s="169" t="s">
        <v>338</v>
      </c>
      <c r="BH40" s="163" t="s">
        <v>49</v>
      </c>
      <c r="BI40" s="164">
        <v>96.75</v>
      </c>
      <c r="BJ40" s="163" t="s">
        <v>295</v>
      </c>
      <c r="BK40" s="170">
        <v>51</v>
      </c>
    </row>
    <row r="41" spans="1:63" x14ac:dyDescent="0.25">
      <c r="M41" s="13">
        <v>44614</v>
      </c>
      <c r="V41" s="16"/>
      <c r="W41" s="16"/>
      <c r="BF41" s="180">
        <v>39</v>
      </c>
      <c r="BG41" s="169" t="s">
        <v>339</v>
      </c>
      <c r="BH41" s="163" t="s">
        <v>315</v>
      </c>
      <c r="BI41" s="164">
        <v>85.8</v>
      </c>
      <c r="BJ41" s="163" t="s">
        <v>287</v>
      </c>
      <c r="BK41" s="170">
        <v>62</v>
      </c>
    </row>
    <row r="42" spans="1:63" x14ac:dyDescent="0.25">
      <c r="A42" t="s">
        <v>4</v>
      </c>
      <c r="M42" s="13">
        <v>44615</v>
      </c>
      <c r="V42" s="16"/>
      <c r="W42" s="16"/>
      <c r="BF42" s="180">
        <v>40</v>
      </c>
      <c r="BG42" s="169" t="s">
        <v>340</v>
      </c>
      <c r="BH42" s="163" t="s">
        <v>315</v>
      </c>
      <c r="BI42" s="164">
        <v>21.82</v>
      </c>
      <c r="BJ42" s="163" t="s">
        <v>287</v>
      </c>
      <c r="BK42" s="170">
        <v>27</v>
      </c>
    </row>
    <row r="43" spans="1:63" x14ac:dyDescent="0.25">
      <c r="A43" t="s">
        <v>56</v>
      </c>
      <c r="M43" s="13">
        <v>44616</v>
      </c>
      <c r="V43" s="16"/>
      <c r="W43" s="16"/>
      <c r="BF43" s="180">
        <v>41</v>
      </c>
      <c r="BG43" s="169" t="s">
        <v>341</v>
      </c>
      <c r="BH43" s="163" t="s">
        <v>329</v>
      </c>
      <c r="BI43" s="164">
        <v>40.83</v>
      </c>
      <c r="BJ43" s="163" t="s">
        <v>169</v>
      </c>
      <c r="BK43" s="170">
        <v>77</v>
      </c>
    </row>
    <row r="44" spans="1:63" x14ac:dyDescent="0.25">
      <c r="A44" t="s">
        <v>57</v>
      </c>
      <c r="M44" s="13">
        <v>44617</v>
      </c>
      <c r="V44" s="16"/>
      <c r="W44" s="16"/>
      <c r="BF44" s="180">
        <v>42</v>
      </c>
      <c r="BG44" s="169" t="s">
        <v>342</v>
      </c>
      <c r="BH44" s="163" t="s">
        <v>49</v>
      </c>
      <c r="BI44" s="164">
        <v>29.44</v>
      </c>
      <c r="BJ44" s="163" t="s">
        <v>298</v>
      </c>
      <c r="BK44" s="170"/>
    </row>
    <row r="45" spans="1:63" x14ac:dyDescent="0.25">
      <c r="A45" t="s">
        <v>155</v>
      </c>
      <c r="M45" s="13">
        <v>44620</v>
      </c>
      <c r="V45" s="16"/>
      <c r="W45" s="16"/>
      <c r="BF45" s="180">
        <v>43</v>
      </c>
      <c r="BG45" s="169" t="s">
        <v>343</v>
      </c>
      <c r="BH45" s="163" t="s">
        <v>334</v>
      </c>
      <c r="BI45" s="164">
        <v>111.95</v>
      </c>
      <c r="BJ45" s="163" t="s">
        <v>169</v>
      </c>
      <c r="BK45" s="170">
        <v>79</v>
      </c>
    </row>
    <row r="46" spans="1:63" x14ac:dyDescent="0.25">
      <c r="A46" t="s">
        <v>58</v>
      </c>
      <c r="M46" s="13">
        <v>44621</v>
      </c>
      <c r="V46" s="16"/>
      <c r="W46" s="16"/>
      <c r="BF46" s="180">
        <v>44</v>
      </c>
      <c r="BG46" s="169" t="s">
        <v>344</v>
      </c>
      <c r="BH46" s="163" t="s">
        <v>358</v>
      </c>
      <c r="BI46" s="164">
        <v>23.35</v>
      </c>
      <c r="BJ46" s="163" t="s">
        <v>292</v>
      </c>
      <c r="BK46" s="170">
        <v>79</v>
      </c>
    </row>
    <row r="47" spans="1:63" x14ac:dyDescent="0.25">
      <c r="A47" t="s">
        <v>59</v>
      </c>
      <c r="M47" s="13">
        <v>44622</v>
      </c>
      <c r="V47" s="16"/>
      <c r="W47" s="16"/>
      <c r="BF47" s="180">
        <v>45</v>
      </c>
      <c r="BG47" s="169" t="s">
        <v>346</v>
      </c>
      <c r="BH47" s="163" t="s">
        <v>315</v>
      </c>
      <c r="BI47" s="164">
        <v>38.21</v>
      </c>
      <c r="BJ47" s="163" t="s">
        <v>284</v>
      </c>
      <c r="BK47" s="170">
        <v>45</v>
      </c>
    </row>
    <row r="48" spans="1:63" x14ac:dyDescent="0.25">
      <c r="A48" t="s">
        <v>60</v>
      </c>
      <c r="M48" s="13">
        <v>44624</v>
      </c>
      <c r="V48" s="16"/>
      <c r="W48" s="16"/>
      <c r="BF48" s="180">
        <v>46</v>
      </c>
      <c r="BG48" s="169" t="s">
        <v>347</v>
      </c>
      <c r="BH48" s="163" t="s">
        <v>319</v>
      </c>
      <c r="BI48" s="164">
        <v>79.180000000000007</v>
      </c>
      <c r="BJ48" s="163" t="s">
        <v>287</v>
      </c>
      <c r="BK48" s="170">
        <v>15</v>
      </c>
    </row>
    <row r="49" spans="1:63" x14ac:dyDescent="0.25">
      <c r="A49" t="s">
        <v>63</v>
      </c>
      <c r="M49" s="13">
        <v>44623</v>
      </c>
      <c r="V49" s="16"/>
      <c r="W49" s="16"/>
      <c r="BF49" s="180">
        <v>47</v>
      </c>
      <c r="BG49" s="169" t="s">
        <v>348</v>
      </c>
      <c r="BH49" s="163" t="s">
        <v>357</v>
      </c>
      <c r="BI49" s="164">
        <v>198.68</v>
      </c>
      <c r="BJ49" s="163" t="s">
        <v>308</v>
      </c>
      <c r="BK49" s="170">
        <v>62</v>
      </c>
    </row>
    <row r="50" spans="1:63" x14ac:dyDescent="0.25">
      <c r="A50" t="s">
        <v>62</v>
      </c>
      <c r="M50" s="13">
        <v>44627</v>
      </c>
      <c r="V50" s="16"/>
      <c r="W50" s="16"/>
      <c r="BF50" s="180">
        <v>48</v>
      </c>
      <c r="BG50" s="169" t="s">
        <v>349</v>
      </c>
      <c r="BH50" s="163" t="s">
        <v>357</v>
      </c>
      <c r="BI50" s="164">
        <v>69.239999999999995</v>
      </c>
      <c r="BJ50" s="163" t="s">
        <v>171</v>
      </c>
      <c r="BK50" s="170">
        <v>14</v>
      </c>
    </row>
    <row r="51" spans="1:63" x14ac:dyDescent="0.25">
      <c r="M51" s="13">
        <v>44628</v>
      </c>
      <c r="V51" s="16"/>
      <c r="W51" s="16"/>
      <c r="BF51" s="180">
        <v>49</v>
      </c>
      <c r="BG51" s="169" t="s">
        <v>350</v>
      </c>
      <c r="BH51" s="163" t="s">
        <v>351</v>
      </c>
      <c r="BI51" s="164">
        <v>150.66</v>
      </c>
      <c r="BJ51" s="163" t="s">
        <v>308</v>
      </c>
      <c r="BK51" s="170">
        <v>89</v>
      </c>
    </row>
    <row r="52" spans="1:63" ht="15.75" thickBot="1" x14ac:dyDescent="0.3">
      <c r="A52" t="s">
        <v>61</v>
      </c>
      <c r="M52" s="13">
        <v>44629</v>
      </c>
      <c r="V52" s="16"/>
      <c r="W52" s="16"/>
      <c r="BF52" s="180">
        <v>50</v>
      </c>
      <c r="BG52" s="171" t="s">
        <v>352</v>
      </c>
      <c r="BH52" s="172" t="s">
        <v>302</v>
      </c>
      <c r="BI52" s="173">
        <v>108.09</v>
      </c>
      <c r="BJ52" s="172" t="s">
        <v>292</v>
      </c>
      <c r="BK52" s="174">
        <v>68</v>
      </c>
    </row>
    <row r="53" spans="1:63" x14ac:dyDescent="0.25">
      <c r="A53" t="s">
        <v>65</v>
      </c>
      <c r="M53" s="13">
        <v>44630</v>
      </c>
      <c r="V53" s="16"/>
      <c r="W53" s="16"/>
    </row>
    <row r="54" spans="1:63" x14ac:dyDescent="0.25">
      <c r="A54" t="s">
        <v>64</v>
      </c>
      <c r="M54" s="13">
        <v>44631</v>
      </c>
      <c r="V54" s="16"/>
      <c r="W54" s="16"/>
    </row>
    <row r="55" spans="1:63" x14ac:dyDescent="0.25">
      <c r="M55" s="13">
        <v>44634</v>
      </c>
      <c r="V55" s="16"/>
      <c r="W55" s="16"/>
    </row>
    <row r="56" spans="1:63" x14ac:dyDescent="0.25">
      <c r="M56" s="13">
        <v>44635</v>
      </c>
      <c r="V56" s="16"/>
      <c r="W56" s="16"/>
    </row>
  </sheetData>
  <mergeCells count="20">
    <mergeCell ref="G21:I21"/>
    <mergeCell ref="T2:T3"/>
    <mergeCell ref="U2:U3"/>
    <mergeCell ref="V2:V3"/>
    <mergeCell ref="W2:W3"/>
    <mergeCell ref="G5:I5"/>
    <mergeCell ref="G7:I7"/>
    <mergeCell ref="G12:I12"/>
    <mergeCell ref="G15:I15"/>
    <mergeCell ref="BG1:BH1"/>
    <mergeCell ref="Z2:Z3"/>
    <mergeCell ref="AA2:AA3"/>
    <mergeCell ref="G2:I2"/>
    <mergeCell ref="M2:M3"/>
    <mergeCell ref="O2:O3"/>
    <mergeCell ref="P2:P3"/>
    <mergeCell ref="R2:R3"/>
    <mergeCell ref="S2:S3"/>
    <mergeCell ref="G3:I3"/>
    <mergeCell ref="Y2:Y3"/>
  </mergeCells>
  <phoneticPr fontId="10" type="noConversion"/>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Class</vt:lpstr>
      <vt:lpstr>Advanced Formula Tasks</vt:lpstr>
      <vt:lpstr>Branch 1</vt:lpstr>
      <vt:lpstr>Branch 2</vt:lpstr>
      <vt:lpstr>Branch 3</vt:lpstr>
      <vt:lpstr>Named ranges</vt:lpstr>
      <vt:lpstr>Advanced Formatting</vt:lpstr>
      <vt:lpstr>Working with Images </vt:lpstr>
      <vt:lpstr>Data Tools</vt:lpstr>
      <vt:lpstr>Visualizing your data</vt:lpstr>
      <vt:lpstr>Advanced Functions</vt:lpstr>
      <vt:lpstr>Sales</vt:lpstr>
      <vt:lpstr>SalesRep</vt:lpstr>
      <vt:lpstr>Table1</vt:lpstr>
      <vt:lpstr>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Kal El</cp:lastModifiedBy>
  <dcterms:created xsi:type="dcterms:W3CDTF">2015-06-05T18:17:20Z</dcterms:created>
  <dcterms:modified xsi:type="dcterms:W3CDTF">2026-09-29T04:10:36Z</dcterms:modified>
</cp:coreProperties>
</file>